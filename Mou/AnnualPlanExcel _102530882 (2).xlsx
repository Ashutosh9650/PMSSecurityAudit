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Users\Ashutosh\Downloads\"/>
    </mc:Choice>
  </mc:AlternateContent>
  <bookViews>
    <workbookView xWindow="-105" yWindow="-105" windowWidth="19425" windowHeight="10305"/>
  </bookViews>
  <sheets>
    <sheet name="Cluster Level Planning" sheetId="1" r:id="rId1"/>
    <sheet name="Training Planning" sheetId="2" r:id="rId2"/>
    <sheet name="Data Reference" sheetId="4" r:id="rId3"/>
  </sheets>
  <definedNames>
    <definedName name="_xlnm._FilterDatabase" localSheetId="0" hidden="1">'Cluster Level Planning'!$A$4:$BF$144</definedName>
  </definedName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X144" i="1" l="1"/>
  <c r="AX143" i="1"/>
  <c r="AX142" i="1"/>
  <c r="AX141" i="1"/>
  <c r="AX140" i="1"/>
  <c r="AX139" i="1"/>
  <c r="AX138" i="1"/>
  <c r="AX137" i="1"/>
  <c r="AX136" i="1"/>
  <c r="AX135" i="1"/>
  <c r="AX134" i="1"/>
  <c r="AX133" i="1"/>
  <c r="AX132" i="1"/>
  <c r="AX131" i="1"/>
  <c r="AX130" i="1"/>
  <c r="AX129" i="1"/>
  <c r="AX128" i="1"/>
  <c r="AX127" i="1"/>
  <c r="AX126" i="1"/>
  <c r="AX125" i="1"/>
  <c r="AX124" i="1"/>
  <c r="AX123" i="1"/>
  <c r="AX122" i="1"/>
  <c r="AX121" i="1"/>
  <c r="AX120" i="1"/>
  <c r="AX119" i="1"/>
  <c r="AX118" i="1"/>
  <c r="AX117" i="1"/>
  <c r="AX116" i="1"/>
  <c r="AX115" i="1"/>
  <c r="AX114" i="1"/>
  <c r="AX113" i="1"/>
  <c r="AX112" i="1"/>
  <c r="AX111" i="1"/>
  <c r="AX110" i="1"/>
  <c r="AX109" i="1"/>
  <c r="AX108" i="1"/>
  <c r="AX107" i="1"/>
  <c r="AX106" i="1"/>
  <c r="AX105" i="1"/>
  <c r="AX104" i="1"/>
  <c r="AX103" i="1"/>
  <c r="AX102" i="1"/>
  <c r="AX101" i="1"/>
  <c r="AX100" i="1"/>
  <c r="AX99" i="1"/>
  <c r="AX98" i="1"/>
  <c r="AX97" i="1"/>
  <c r="AX96" i="1"/>
  <c r="AX95" i="1"/>
  <c r="AX94" i="1"/>
  <c r="AX93" i="1"/>
  <c r="AX92" i="1"/>
  <c r="AX91" i="1"/>
  <c r="AX90" i="1"/>
  <c r="AX89" i="1"/>
  <c r="AX88" i="1"/>
  <c r="AX87" i="1"/>
  <c r="AX86" i="1"/>
  <c r="AX85" i="1"/>
  <c r="AX84" i="1"/>
  <c r="AX83" i="1"/>
  <c r="AX82" i="1"/>
  <c r="AX81" i="1"/>
  <c r="AX80" i="1"/>
  <c r="AX79" i="1"/>
  <c r="AX78" i="1"/>
  <c r="AX77" i="1"/>
  <c r="AX76" i="1"/>
  <c r="AX75" i="1"/>
  <c r="AX74" i="1"/>
  <c r="AX73" i="1"/>
  <c r="AX72" i="1"/>
  <c r="AX71" i="1"/>
  <c r="AX70" i="1"/>
  <c r="AX69" i="1"/>
  <c r="AX68" i="1"/>
  <c r="AX67" i="1"/>
  <c r="AX66" i="1"/>
  <c r="AX65" i="1"/>
  <c r="AX64" i="1"/>
  <c r="AX63" i="1"/>
  <c r="AX62" i="1"/>
  <c r="AX61" i="1"/>
  <c r="AX60" i="1"/>
  <c r="AX59" i="1"/>
  <c r="AX58" i="1"/>
  <c r="AX57" i="1"/>
  <c r="AX56" i="1"/>
  <c r="AX55" i="1"/>
  <c r="AX54" i="1"/>
  <c r="AX53" i="1"/>
  <c r="AX52" i="1"/>
  <c r="AX51" i="1"/>
  <c r="AX50" i="1"/>
  <c r="AX49" i="1"/>
  <c r="AX48" i="1"/>
  <c r="AX47" i="1"/>
  <c r="AX46" i="1"/>
  <c r="AX45" i="1"/>
  <c r="AX44" i="1"/>
  <c r="AX43" i="1"/>
  <c r="AX42" i="1"/>
  <c r="AX41" i="1"/>
  <c r="AX40" i="1"/>
  <c r="AX39" i="1"/>
  <c r="AX38" i="1"/>
  <c r="AX37" i="1"/>
  <c r="AX36" i="1"/>
  <c r="AX35" i="1"/>
  <c r="AX34" i="1"/>
  <c r="AX33" i="1"/>
  <c r="AX32" i="1"/>
  <c r="AX31" i="1"/>
  <c r="AX30" i="1"/>
  <c r="AX29" i="1"/>
  <c r="AX28" i="1"/>
  <c r="AX27" i="1"/>
  <c r="AX26" i="1"/>
  <c r="AX25" i="1"/>
  <c r="AX24" i="1"/>
  <c r="AX23" i="1"/>
  <c r="AX22" i="1"/>
  <c r="AX21" i="1"/>
  <c r="AX20" i="1"/>
  <c r="AX19" i="1"/>
  <c r="AX18" i="1"/>
  <c r="AX17" i="1"/>
  <c r="AX16" i="1"/>
  <c r="AX15" i="1"/>
  <c r="AX14" i="1"/>
  <c r="AX13" i="1"/>
  <c r="AX12" i="1"/>
  <c r="AX11" i="1"/>
  <c r="AX10" i="1"/>
  <c r="AX9" i="1"/>
  <c r="AX8" i="1"/>
  <c r="AX7" i="1"/>
  <c r="AX6" i="1"/>
</calcChain>
</file>

<file path=xl/sharedStrings.xml><?xml version="1.0" encoding="utf-8"?>
<sst xmlns="http://schemas.openxmlformats.org/spreadsheetml/2006/main" count="1688" uniqueCount="493">
  <si>
    <t>Master</t>
  </si>
  <si>
    <t>AdminDistrictName</t>
  </si>
  <si>
    <t>AdminDistrictCode</t>
  </si>
  <si>
    <t>District Name</t>
  </si>
  <si>
    <t>District Code</t>
  </si>
  <si>
    <t>EG Block Name</t>
  </si>
  <si>
    <t>EG Block Code</t>
  </si>
  <si>
    <t>Admin Block Name</t>
  </si>
  <si>
    <t>Admin Block Code</t>
  </si>
  <si>
    <t>Cluster Name</t>
  </si>
  <si>
    <t>Cluster Code</t>
  </si>
  <si>
    <t>Community Level Activities</t>
  </si>
  <si>
    <t>School Level Activities</t>
  </si>
  <si>
    <t>Village</t>
  </si>
  <si>
    <t>Universe</t>
  </si>
  <si>
    <t>7-14 Years OOSG Enrolment Goal(Ops)</t>
  </si>
  <si>
    <t>GSS</t>
  </si>
  <si>
    <t>MM</t>
  </si>
  <si>
    <t>#Panchayat Meeting</t>
  </si>
  <si>
    <t>#Ratri Chaupal</t>
  </si>
  <si>
    <t>#Namankan Raily</t>
  </si>
  <si>
    <t>School</t>
  </si>
  <si>
    <t>SAC Data</t>
  </si>
  <si>
    <t>BS &amp; GKP</t>
  </si>
  <si>
    <t>SIP Goal</t>
  </si>
  <si>
    <t>SMC Meeting</t>
  </si>
  <si>
    <t>#Villages</t>
  </si>
  <si>
    <t>#Operational Villages</t>
  </si>
  <si>
    <t>6 yrs. OOSG</t>
  </si>
  <si>
    <t>7-10 yrs. OOSG</t>
  </si>
  <si>
    <t>11-14 yrs. OOSG</t>
  </si>
  <si>
    <t>Total OOSG(6 to 14)</t>
  </si>
  <si>
    <t>Q2</t>
  </si>
  <si>
    <t>Q3</t>
  </si>
  <si>
    <t>Q1</t>
  </si>
  <si>
    <t>Q4</t>
  </si>
  <si>
    <t>#Schools</t>
  </si>
  <si>
    <t>#Operational Schools</t>
  </si>
  <si>
    <t>#Operational PS Schools</t>
  </si>
  <si>
    <t>#Operational UPS Schools</t>
  </si>
  <si>
    <t>#School-0 Teacher(PS)</t>
  </si>
  <si>
    <t>#School-1 Teacher(PS)</t>
  </si>
  <si>
    <t>#School- &gt;1Teacher(PS)</t>
  </si>
  <si>
    <t>#School-0 Teacher(UPS)</t>
  </si>
  <si>
    <t>#School-1 Teacher(UPS)</t>
  </si>
  <si>
    <t>#School- &gt;1Teacher(UPS)</t>
  </si>
  <si>
    <t>#UPS Schools- &gt; 12 enrolled girls(in Class 6 to 8)</t>
  </si>
  <si>
    <t>#PS/UPS School- &gt;35 Enrolled Children(Class 3 to 5)</t>
  </si>
  <si>
    <t>#UPS School- &gt;60 Enrolled Children(Class 6 to 8)</t>
  </si>
  <si>
    <t>#Bal Sabha Schools</t>
  </si>
  <si>
    <t>#GKP Schools</t>
  </si>
  <si>
    <t>#GKP Beneficiaries</t>
  </si>
  <si>
    <t>#GKP Plus Schools</t>
  </si>
  <si>
    <t>#GKP Plus Beneficiaries</t>
  </si>
  <si>
    <t>Drinking Water</t>
  </si>
  <si>
    <t>Separate Toilet</t>
  </si>
  <si>
    <t>Kitchen Shed</t>
  </si>
  <si>
    <t>Boundary Wall</t>
  </si>
  <si>
    <t>BISAULI</t>
  </si>
  <si>
    <t>91916</t>
  </si>
  <si>
    <t>HARDOI</t>
  </si>
  <si>
    <t>925A</t>
  </si>
  <si>
    <t>91916A</t>
  </si>
  <si>
    <t>SAVDESH PUR</t>
  </si>
  <si>
    <t>91916021</t>
  </si>
  <si>
    <t>KOTHAWAN</t>
  </si>
  <si>
    <t>92515</t>
  </si>
  <si>
    <t>AHIRORI</t>
  </si>
  <si>
    <t>92506A</t>
  </si>
  <si>
    <t>JANGAON</t>
  </si>
  <si>
    <t>92515065</t>
  </si>
  <si>
    <t>JAGAT</t>
  </si>
  <si>
    <t>91906</t>
  </si>
  <si>
    <t>91906A</t>
  </si>
  <si>
    <t>UGHAINI</t>
  </si>
  <si>
    <t>91906028</t>
  </si>
  <si>
    <t>UJHANI</t>
  </si>
  <si>
    <t>91902</t>
  </si>
  <si>
    <t>SAHASWAN</t>
  </si>
  <si>
    <t>91905A</t>
  </si>
  <si>
    <t>TEHRA</t>
  </si>
  <si>
    <t>91902059</t>
  </si>
  <si>
    <t>WAZEERGANJ</t>
  </si>
  <si>
    <t>91912</t>
  </si>
  <si>
    <t>NAGALA HUSAIN PUR</t>
  </si>
  <si>
    <t>91912045</t>
  </si>
  <si>
    <t>BHARAWAN</t>
  </si>
  <si>
    <t>92518</t>
  </si>
  <si>
    <t>SANDILA</t>
  </si>
  <si>
    <t>92505A</t>
  </si>
  <si>
    <t>MAHAMDAPUR</t>
  </si>
  <si>
    <t>92518002</t>
  </si>
  <si>
    <t>SURSA</t>
  </si>
  <si>
    <t>92504</t>
  </si>
  <si>
    <t>SANDI</t>
  </si>
  <si>
    <t>92513A</t>
  </si>
  <si>
    <t>SINGHUAMAU</t>
  </si>
  <si>
    <t>92504026</t>
  </si>
  <si>
    <t>DATAGANJ</t>
  </si>
  <si>
    <t>91908</t>
  </si>
  <si>
    <t>91908A</t>
  </si>
  <si>
    <t>KATKORA</t>
  </si>
  <si>
    <t>91908037</t>
  </si>
  <si>
    <t>AASAFPUR</t>
  </si>
  <si>
    <t>91915</t>
  </si>
  <si>
    <t>THIRIYA</t>
  </si>
  <si>
    <t>91915091</t>
  </si>
  <si>
    <t>BARH PUR</t>
  </si>
  <si>
    <t>92906</t>
  </si>
  <si>
    <t>92906A</t>
  </si>
  <si>
    <t>HATHIPUR</t>
  </si>
  <si>
    <t>92906002</t>
  </si>
  <si>
    <t>HARIYAWAN</t>
  </si>
  <si>
    <t>92501</t>
  </si>
  <si>
    <t>TANDIYAWA</t>
  </si>
  <si>
    <t>92509A</t>
  </si>
  <si>
    <t>SEWA</t>
  </si>
  <si>
    <t>92501030</t>
  </si>
  <si>
    <t>92505</t>
  </si>
  <si>
    <t>NARAYANPUR</t>
  </si>
  <si>
    <t>92505076</t>
  </si>
  <si>
    <t>92513</t>
  </si>
  <si>
    <t>BAWAN</t>
  </si>
  <si>
    <t>92507</t>
  </si>
  <si>
    <t>BAKHARIA</t>
  </si>
  <si>
    <t>92513041</t>
  </si>
  <si>
    <t>ATAMAU</t>
  </si>
  <si>
    <t>92505003</t>
  </si>
  <si>
    <t>BHADSEN</t>
  </si>
  <si>
    <t>92515061</t>
  </si>
  <si>
    <t>92509</t>
  </si>
  <si>
    <t>JAIRAJPUR</t>
  </si>
  <si>
    <t>92509037</t>
  </si>
  <si>
    <t>KACHAUNA</t>
  </si>
  <si>
    <t>92516</t>
  </si>
  <si>
    <t>GAJU</t>
  </si>
  <si>
    <t>92516033</t>
  </si>
  <si>
    <t>NAGLA SHERKI</t>
  </si>
  <si>
    <t>91906020</t>
  </si>
  <si>
    <t>PINDARA</t>
  </si>
  <si>
    <t>91915030</t>
  </si>
  <si>
    <t>SHAHABAD</t>
  </si>
  <si>
    <t>92511</t>
  </si>
  <si>
    <t>TONDARPUR</t>
  </si>
  <si>
    <t>92510A</t>
  </si>
  <si>
    <t>SIKANDARPUR NANKATRA</t>
  </si>
  <si>
    <t>92511071</t>
  </si>
  <si>
    <t>HARPALPUR</t>
  </si>
  <si>
    <t>92514</t>
  </si>
  <si>
    <t>BHUSEHARA</t>
  </si>
  <si>
    <t>92514004</t>
  </si>
  <si>
    <t>DHORERA</t>
  </si>
  <si>
    <t>91912026</t>
  </si>
  <si>
    <t>SAMRER</t>
  </si>
  <si>
    <t>91911</t>
  </si>
  <si>
    <t>RAMPURA KALA</t>
  </si>
  <si>
    <t>91911107</t>
  </si>
  <si>
    <t>91905</t>
  </si>
  <si>
    <t>PALPUR</t>
  </si>
  <si>
    <t>91905044</t>
  </si>
  <si>
    <t>PIHANI</t>
  </si>
  <si>
    <t>92502</t>
  </si>
  <si>
    <t>NIPNIA</t>
  </si>
  <si>
    <t>92502035</t>
  </si>
  <si>
    <t>PIVAARI</t>
  </si>
  <si>
    <t>91916040</t>
  </si>
  <si>
    <t>BEHANDAR</t>
  </si>
  <si>
    <t>92503</t>
  </si>
  <si>
    <t>DIWARI</t>
  </si>
  <si>
    <t>92503105</t>
  </si>
  <si>
    <t>MADHOGANJ</t>
  </si>
  <si>
    <t>92519</t>
  </si>
  <si>
    <t>BILGRAM</t>
  </si>
  <si>
    <t>92517A</t>
  </si>
  <si>
    <t>BABATMAU</t>
  </si>
  <si>
    <t>92519017</t>
  </si>
  <si>
    <t>92506</t>
  </si>
  <si>
    <t>VIKTORIA GANJ</t>
  </si>
  <si>
    <t>92506124</t>
  </si>
  <si>
    <t>BHARKHANI</t>
  </si>
  <si>
    <t>92512</t>
  </si>
  <si>
    <t>MURTJA NAGAR</t>
  </si>
  <si>
    <t>92512038</t>
  </si>
  <si>
    <t>BAHATARA</t>
  </si>
  <si>
    <t>91912051</t>
  </si>
  <si>
    <t>92510</t>
  </si>
  <si>
    <t>TARA GAON</t>
  </si>
  <si>
    <t>92510028</t>
  </si>
  <si>
    <t>DARA NAGAR</t>
  </si>
  <si>
    <t>91906043</t>
  </si>
  <si>
    <t>DALELPUR</t>
  </si>
  <si>
    <t>92504078</t>
  </si>
  <si>
    <t>DEHGANWAN</t>
  </si>
  <si>
    <t>91918</t>
  </si>
  <si>
    <t>91918A</t>
  </si>
  <si>
    <t>SILHERI</t>
  </si>
  <si>
    <t>91918005</t>
  </si>
  <si>
    <t>AMBIYAPUR</t>
  </si>
  <si>
    <t>91913</t>
  </si>
  <si>
    <t>SALARPUR</t>
  </si>
  <si>
    <t>91904A</t>
  </si>
  <si>
    <t>BASABANPUR</t>
  </si>
  <si>
    <t>91913101</t>
  </si>
  <si>
    <t>RAJE PUR</t>
  </si>
  <si>
    <t>92905</t>
  </si>
  <si>
    <t>BADANPUR</t>
  </si>
  <si>
    <t>92905060</t>
  </si>
  <si>
    <t>92517</t>
  </si>
  <si>
    <t>JEHADIPUR</t>
  </si>
  <si>
    <t>92519039</t>
  </si>
  <si>
    <t>GARI</t>
  </si>
  <si>
    <t>91913017</t>
  </si>
  <si>
    <t>KAMALGANJ</t>
  </si>
  <si>
    <t>92904</t>
  </si>
  <si>
    <t>BHURNAMAU</t>
  </si>
  <si>
    <t>92906044</t>
  </si>
  <si>
    <t>QADARCHOWK</t>
  </si>
  <si>
    <t>91901</t>
  </si>
  <si>
    <t>91901A</t>
  </si>
  <si>
    <t>INDRAI</t>
  </si>
  <si>
    <t>91901075</t>
  </si>
  <si>
    <t>BHOOGA JEET NAGRIYA</t>
  </si>
  <si>
    <t>91918028</t>
  </si>
  <si>
    <t>FARIDAPUR</t>
  </si>
  <si>
    <t>92506036</t>
  </si>
  <si>
    <t>MAHLOLI</t>
  </si>
  <si>
    <t>91905027</t>
  </si>
  <si>
    <t>NAWABGANJ</t>
  </si>
  <si>
    <t>92903</t>
  </si>
  <si>
    <t>MOHAMDABAD</t>
  </si>
  <si>
    <t>92908</t>
  </si>
  <si>
    <t>GUTHINA</t>
  </si>
  <si>
    <t>92903082</t>
  </si>
  <si>
    <t>PALIA GUJAR</t>
  </si>
  <si>
    <t>91908005</t>
  </si>
  <si>
    <t>BAIN</t>
  </si>
  <si>
    <t>91913048</t>
  </si>
  <si>
    <t>MAHARI</t>
  </si>
  <si>
    <t>92516012</t>
  </si>
  <si>
    <t>ISLAMNAGAR</t>
  </si>
  <si>
    <t>91903</t>
  </si>
  <si>
    <t>ALLI PUR CHACHIPUR</t>
  </si>
  <si>
    <t>91903061</t>
  </si>
  <si>
    <t>GAURWA</t>
  </si>
  <si>
    <t>92510045</t>
  </si>
  <si>
    <t>MIAUN</t>
  </si>
  <si>
    <t>91910</t>
  </si>
  <si>
    <t>KORA JAI KARAN</t>
  </si>
  <si>
    <t>91910009</t>
  </si>
  <si>
    <t>GAURI KHALSA</t>
  </si>
  <si>
    <t>92516024</t>
  </si>
  <si>
    <t>JAMU</t>
  </si>
  <si>
    <t>92505059</t>
  </si>
  <si>
    <t>MALLAWA</t>
  </si>
  <si>
    <t>92508</t>
  </si>
  <si>
    <t>SHAHPUR PABOR</t>
  </si>
  <si>
    <t>92508057</t>
  </si>
  <si>
    <t>SARSAI</t>
  </si>
  <si>
    <t>92512081</t>
  </si>
  <si>
    <t>SIDH PUR KAITHOOLI</t>
  </si>
  <si>
    <t>91916015</t>
  </si>
  <si>
    <t>SARAWAR</t>
  </si>
  <si>
    <t>92502002</t>
  </si>
  <si>
    <t>BHARKHA</t>
  </si>
  <si>
    <t>92905037</t>
  </si>
  <si>
    <t>GUDHNI</t>
  </si>
  <si>
    <t>91913040</t>
  </si>
  <si>
    <t>SULTAN PUR TAPPA</t>
  </si>
  <si>
    <t>91905073</t>
  </si>
  <si>
    <t>91904</t>
  </si>
  <si>
    <t>GURUPURI VINAYAK</t>
  </si>
  <si>
    <t>91904029</t>
  </si>
  <si>
    <t>HUSENPUR</t>
  </si>
  <si>
    <t>92503069</t>
  </si>
  <si>
    <t>PAHUNTERA</t>
  </si>
  <si>
    <t>92504042</t>
  </si>
  <si>
    <t>KAIM GANJ</t>
  </si>
  <si>
    <t>92901</t>
  </si>
  <si>
    <t>NIZAMUDDINPUR</t>
  </si>
  <si>
    <t>92901099</t>
  </si>
  <si>
    <t>ANG THARA</t>
  </si>
  <si>
    <t>91916046</t>
  </si>
  <si>
    <t>GADAIPUR</t>
  </si>
  <si>
    <t>92507096</t>
  </si>
  <si>
    <t>KANHA NAGLA</t>
  </si>
  <si>
    <t>91904088</t>
  </si>
  <si>
    <t>DAHELIA</t>
  </si>
  <si>
    <t>92514018</t>
  </si>
  <si>
    <t>JOONAIRA</t>
  </si>
  <si>
    <t>91905052</t>
  </si>
  <si>
    <t>MALLA PUR</t>
  </si>
  <si>
    <t>91906067</t>
  </si>
  <si>
    <t>HAVET PUR</t>
  </si>
  <si>
    <t>91913014</t>
  </si>
  <si>
    <t>GONDARAO</t>
  </si>
  <si>
    <t>92506023</t>
  </si>
  <si>
    <t>SOBHAN PUR</t>
  </si>
  <si>
    <t>91906053</t>
  </si>
  <si>
    <t>KUNWARPUR CHADAN</t>
  </si>
  <si>
    <t>91918085</t>
  </si>
  <si>
    <t>HINDOR</t>
  </si>
  <si>
    <t>91918055</t>
  </si>
  <si>
    <t>NAWADA</t>
  </si>
  <si>
    <t>91910116</t>
  </si>
  <si>
    <t>SAKHEDA</t>
  </si>
  <si>
    <t>92517015</t>
  </si>
  <si>
    <t>RUTOL</t>
  </si>
  <si>
    <t>92901061</t>
  </si>
  <si>
    <t>SARKI</t>
  </si>
  <si>
    <t>91902035</t>
  </si>
  <si>
    <t>BAGHRAI</t>
  </si>
  <si>
    <t>92513017</t>
  </si>
  <si>
    <t>ASLAPUR</t>
  </si>
  <si>
    <t>92511101</t>
  </si>
  <si>
    <t>KUNDRA PUKHTA</t>
  </si>
  <si>
    <t>91908064</t>
  </si>
  <si>
    <t>NAGLA CHOI</t>
  </si>
  <si>
    <t>91905014</t>
  </si>
  <si>
    <t>JAHIDPUR</t>
  </si>
  <si>
    <t>92503032</t>
  </si>
  <si>
    <t>RANJEETPUR</t>
  </si>
  <si>
    <t>91918093</t>
  </si>
  <si>
    <t>BEHANDER KHURD</t>
  </si>
  <si>
    <t>92503039</t>
  </si>
  <si>
    <t>JAGRAOLI</t>
  </si>
  <si>
    <t>92509066</t>
  </si>
  <si>
    <t>BIJAURI</t>
  </si>
  <si>
    <t>91915015</t>
  </si>
  <si>
    <t>KHUDWARA</t>
  </si>
  <si>
    <t>91901099</t>
  </si>
  <si>
    <t>USAWAN</t>
  </si>
  <si>
    <t>91909</t>
  </si>
  <si>
    <t>BARENIA</t>
  </si>
  <si>
    <t>91909052</t>
  </si>
  <si>
    <t>SARAI PIPRIA</t>
  </si>
  <si>
    <t>91908074</t>
  </si>
  <si>
    <t>GURAULI</t>
  </si>
  <si>
    <t>92517041</t>
  </si>
  <si>
    <t>PURWA PIPRIA</t>
  </si>
  <si>
    <t>92511013</t>
  </si>
  <si>
    <t>JHUKSA</t>
  </si>
  <si>
    <t>91911001</t>
  </si>
  <si>
    <t>RAMPUR KODA</t>
  </si>
  <si>
    <t>92502083</t>
  </si>
  <si>
    <t>LALOOMAI</t>
  </si>
  <si>
    <t>91909030</t>
  </si>
  <si>
    <t>MOHANPUR</t>
  </si>
  <si>
    <t>91904106</t>
  </si>
  <si>
    <t>BAN BAUSARI</t>
  </si>
  <si>
    <t>91910126</t>
  </si>
  <si>
    <t>SOBRAN PUR</t>
  </si>
  <si>
    <t>91918017</t>
  </si>
  <si>
    <t>SIMRA</t>
  </si>
  <si>
    <t>91901012</t>
  </si>
  <si>
    <t>UMRAULI JAITPUR</t>
  </si>
  <si>
    <t>92513053</t>
  </si>
  <si>
    <t>KATRI BICHUIA</t>
  </si>
  <si>
    <t>92517059</t>
  </si>
  <si>
    <t>BHAT PUR</t>
  </si>
  <si>
    <t>92518039</t>
  </si>
  <si>
    <t>PALIA JHANDA</t>
  </si>
  <si>
    <t>91904038</t>
  </si>
  <si>
    <t>SIMRIYA TAIDU</t>
  </si>
  <si>
    <t>91910078</t>
  </si>
  <si>
    <t>NAGARIA</t>
  </si>
  <si>
    <t>92510092</t>
  </si>
  <si>
    <t>NAGLA THLLIA</t>
  </si>
  <si>
    <t>91906035</t>
  </si>
  <si>
    <t>RAI PUR JAGMAN</t>
  </si>
  <si>
    <t>91916029</t>
  </si>
  <si>
    <t>JARANDA</t>
  </si>
  <si>
    <t>91903028</t>
  </si>
  <si>
    <t>SILBARI</t>
  </si>
  <si>
    <t>92512113</t>
  </si>
  <si>
    <t>MAROORI</t>
  </si>
  <si>
    <t>91910081</t>
  </si>
  <si>
    <t>KANTHARI</t>
  </si>
  <si>
    <t>92508006</t>
  </si>
  <si>
    <t>ATWARA CHKOLA</t>
  </si>
  <si>
    <t>92508003</t>
  </si>
  <si>
    <t>GOSAMNAGAR</t>
  </si>
  <si>
    <t>91913085</t>
  </si>
  <si>
    <t>KUDA NARSINGH PUR</t>
  </si>
  <si>
    <t>91902062</t>
  </si>
  <si>
    <t>KHANIGAWA KHURD</t>
  </si>
  <si>
    <t>92511087</t>
  </si>
  <si>
    <t>KHUKHANYAJOJAY</t>
  </si>
  <si>
    <t>91905098</t>
  </si>
  <si>
    <t>AURENI</t>
  </si>
  <si>
    <t>92513072</t>
  </si>
  <si>
    <t>PALIA RAYSINGH</t>
  </si>
  <si>
    <t>92515024</t>
  </si>
  <si>
    <t>CHITRI</t>
  </si>
  <si>
    <t>91910061</t>
  </si>
  <si>
    <t>BHITHARI</t>
  </si>
  <si>
    <t>92507044</t>
  </si>
  <si>
    <t>BAHAR</t>
  </si>
  <si>
    <t>92509104</t>
  </si>
  <si>
    <t>DAKHILAUL</t>
  </si>
  <si>
    <t>92518059</t>
  </si>
  <si>
    <t>HAJARA</t>
  </si>
  <si>
    <t>91909081</t>
  </si>
  <si>
    <t>DAJRAMPUR</t>
  </si>
  <si>
    <t>91903043</t>
  </si>
  <si>
    <t>SARIPUR HIRALAL</t>
  </si>
  <si>
    <t>92506063</t>
  </si>
  <si>
    <t>KARAINGI</t>
  </si>
  <si>
    <t>91915051</t>
  </si>
  <si>
    <t>SHAIKHPUR KHAJURI</t>
  </si>
  <si>
    <t>92908039</t>
  </si>
  <si>
    <t>SURJIPUR</t>
  </si>
  <si>
    <t>92510007</t>
  </si>
  <si>
    <t>KHERA KISHNI</t>
  </si>
  <si>
    <t>91909068</t>
  </si>
  <si>
    <t>KALLI KHEDA</t>
  </si>
  <si>
    <t>92505019</t>
  </si>
  <si>
    <t>DHAUNRERA</t>
  </si>
  <si>
    <t>91902057</t>
  </si>
  <si>
    <t>ALISABAD</t>
  </si>
  <si>
    <t>92509114</t>
  </si>
  <si>
    <t>HARSINGPUR</t>
  </si>
  <si>
    <t>92501078</t>
  </si>
  <si>
    <t>SIVAYA HAMIDPUR</t>
  </si>
  <si>
    <t>91901051</t>
  </si>
  <si>
    <t>MADARA</t>
  </si>
  <si>
    <t>92506034</t>
  </si>
  <si>
    <t>SADIPUR</t>
  </si>
  <si>
    <t>92515022</t>
  </si>
  <si>
    <t>REBHA MURADPUR</t>
  </si>
  <si>
    <t>92510119</t>
  </si>
  <si>
    <t>SIKANDERPUR TIHAYIA</t>
  </si>
  <si>
    <t>92901073</t>
  </si>
  <si>
    <t>BHASRALA</t>
  </si>
  <si>
    <t>91906045</t>
  </si>
  <si>
    <t>Annual Plan- Staff &amp; Team Balika Training Planning</t>
  </si>
  <si>
    <r>
      <rPr>
        <b/>
        <sz val="11"/>
        <color theme="1"/>
        <rFont val="Calibri"/>
        <family val="2"/>
      </rPr>
      <t xml:space="preserve">Note: Please enter number of participants
</t>
    </r>
    <r>
      <rPr>
        <b/>
        <sz val="11"/>
        <color rgb="FFFF0000"/>
        <rFont val="Calibri"/>
        <family val="2"/>
      </rPr>
      <t>Training Level: 1=District level, 2=Block Level, 3=Cluster Level</t>
    </r>
  </si>
  <si>
    <t>Activity</t>
  </si>
  <si>
    <t>Training Level</t>
  </si>
  <si>
    <t>Quarter</t>
  </si>
  <si>
    <t>Quarter 1</t>
  </si>
  <si>
    <t>Quarter 2</t>
  </si>
  <si>
    <t>Quarter 3</t>
  </si>
  <si>
    <t>Quarter 4</t>
  </si>
  <si>
    <t>Staff Training on Enrolment and SMC</t>
  </si>
  <si>
    <t>Staff Training on CV and SC</t>
  </si>
  <si>
    <t>Staff Training on PMS</t>
  </si>
  <si>
    <t>Staff Training on Learning Baseline</t>
  </si>
  <si>
    <t>Staff Training on GKP-L0/L1</t>
  </si>
  <si>
    <t>Staff Training on GKP-L1/L2</t>
  </si>
  <si>
    <t>Staff Training on GKP-L2/L3</t>
  </si>
  <si>
    <t>Staff Training on Learning Endline</t>
  </si>
  <si>
    <t>Staff Training on Bal Sabha and LSE</t>
  </si>
  <si>
    <t>Staff Training on SMC Meeting</t>
  </si>
  <si>
    <t>Staff training on D2D refresher</t>
  </si>
  <si>
    <t>TB Training on Enrolment &amp; SMC</t>
  </si>
  <si>
    <t>TB Training on GKP-L0/L1</t>
  </si>
  <si>
    <t>TB Training on GKP-L1/L2</t>
  </si>
  <si>
    <t>TB Training on GKP-L2/L3</t>
  </si>
  <si>
    <t>TB One Day Orientation</t>
  </si>
  <si>
    <t>TB Skill Training Volunteer Engagement (VE)</t>
  </si>
  <si>
    <t>TB Alumni one day orientation</t>
  </si>
  <si>
    <t>CG/MT Training on Enrollment &amp; SMC</t>
  </si>
  <si>
    <t>CG/Master Trainers Training on L0/L1</t>
  </si>
  <si>
    <t>CG/Master Trainers Training on L1/L2</t>
  </si>
  <si>
    <t>CG/Master Trainers Training on L2/L3</t>
  </si>
  <si>
    <t>CG/MT Training on Bal Sabha &amp; LSE</t>
  </si>
  <si>
    <t>Staff training on GKP Plus part-I</t>
  </si>
  <si>
    <t>Staff training on GKP Plus part-II</t>
  </si>
  <si>
    <t>KGBV Teachers training on LSE</t>
  </si>
  <si>
    <t>Total villages from next year master</t>
  </si>
  <si>
    <t>Other Detail:</t>
  </si>
  <si>
    <t>Operational villages from next year master</t>
  </si>
  <si>
    <t>There will be 3 sheets on the excel upload format</t>
  </si>
  <si>
    <t>2025-2026 Universe</t>
  </si>
  <si>
    <t>1st is Cluster level Planning: This will update the cluster level planning of the Annual plan</t>
  </si>
  <si>
    <t>2nd is Training Planning: This will update the Training planning of the annual plan</t>
  </si>
  <si>
    <t>Any format Change in Excel will show alert at the time of Upload. The Alert will be: Invalid Excel. Please Upload Correct Excel sheet!!</t>
  </si>
  <si>
    <t>In Case of data entry in excel is not as per the validation of annual plan indicators, an exception report will be downloaded with the detail of wrong entry. User correct the entry and upload the data again.</t>
  </si>
  <si>
    <t>7-14 Years OOSG Goal(Ops)</t>
  </si>
  <si>
    <t>Entry Field- OOSG Operational Goal</t>
  </si>
  <si>
    <t>Excel will be uploaded once the cluster and district level planning done for the all clusters of district.</t>
  </si>
  <si>
    <t>After upload excel, IO can edit the entry on PMS web module. After edit user can generate the excel along with the updated data.</t>
  </si>
  <si>
    <t>Entry Field</t>
  </si>
  <si>
    <t>Once IO submit the data to DOL can not be edited.</t>
  </si>
  <si>
    <t>Approval  Process</t>
  </si>
  <si>
    <t>Entry Field- #Panchayat Meeting</t>
  </si>
  <si>
    <t>Entry Field- #Ratri Chaupal</t>
  </si>
  <si>
    <t>Entry Field- #Namankan Raily</t>
  </si>
  <si>
    <t>Total Schools from next year master</t>
  </si>
  <si>
    <t>#Operational Schools from next year master</t>
  </si>
  <si>
    <t>Data from next year master</t>
  </si>
  <si>
    <t>Data from SAC quarter Update-IO Approved</t>
  </si>
  <si>
    <t>Data from School Infra update- IO Approved
Count of Red and Orange Colour</t>
  </si>
</sst>
</file>

<file path=xl/styles.xml><?xml version="1.0" encoding="utf-8"?>
<styleSheet xmlns="http://schemas.openxmlformats.org/spreadsheetml/2006/main" xmlns:mc="http://schemas.openxmlformats.org/markup-compatibility/2006" xmlns:x14ac="http://schemas.microsoft.com/office/spreadsheetml/2009/9/ac" mc:Ignorable="x14ac">
  <fonts count="6" x14ac:knownFonts="1">
    <font>
      <sz val="11"/>
      <color theme="1"/>
      <name val="Calibri"/>
      <family val="2"/>
      <scheme val="minor"/>
    </font>
    <font>
      <b/>
      <sz val="11"/>
      <color theme="1"/>
      <name val="Calibri"/>
      <family val="2"/>
      <scheme val="minor"/>
    </font>
    <font>
      <sz val="10"/>
      <color theme="1"/>
      <name val="Calibri"/>
      <family val="2"/>
      <scheme val="minor"/>
    </font>
    <font>
      <sz val="11"/>
      <color rgb="FF000000"/>
      <name val="Calibri"/>
      <family val="2"/>
    </font>
    <font>
      <b/>
      <sz val="11"/>
      <color theme="1"/>
      <name val="Calibri"/>
      <family val="2"/>
    </font>
    <font>
      <b/>
      <sz val="11"/>
      <color rgb="FFFF0000"/>
      <name val="Calibri"/>
      <family val="2"/>
    </font>
  </fonts>
  <fills count="7">
    <fill>
      <patternFill patternType="none"/>
    </fill>
    <fill>
      <patternFill patternType="gray125"/>
    </fill>
    <fill>
      <patternFill patternType="solid">
        <fgColor rgb="FFFFFF00"/>
        <bgColor indexed="64"/>
      </patternFill>
    </fill>
    <fill>
      <patternFill patternType="solid">
        <fgColor theme="7" tint="0.59999389629810485"/>
        <bgColor indexed="64"/>
      </patternFill>
    </fill>
    <fill>
      <patternFill patternType="solid">
        <fgColor theme="7" tint="0.39997558519241921"/>
        <bgColor indexed="64"/>
      </patternFill>
    </fill>
    <fill>
      <patternFill patternType="solid">
        <fgColor theme="6" tint="-0.249977111117893"/>
        <bgColor indexed="64"/>
      </patternFill>
    </fill>
    <fill>
      <patternFill patternType="solid">
        <fgColor theme="2" tint="-9.9978637043366805E-2"/>
        <bgColor indexed="64"/>
      </patternFill>
    </fill>
  </fills>
  <borders count="11">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
      <left/>
      <right/>
      <top/>
      <bottom style="thin">
        <color indexed="64"/>
      </bottom>
      <diagonal/>
    </border>
    <border>
      <left/>
      <right style="thin">
        <color indexed="64"/>
      </right>
      <top/>
      <bottom/>
      <diagonal/>
    </border>
  </borders>
  <cellStyleXfs count="1">
    <xf numFmtId="0" fontId="0" fillId="0" borderId="0"/>
  </cellStyleXfs>
  <cellXfs count="43">
    <xf numFmtId="0" fontId="0" fillId="0" borderId="0" xfId="0"/>
    <xf numFmtId="0" fontId="0" fillId="0" borderId="0" xfId="0" applyFill="1" applyProtection="1"/>
    <xf numFmtId="0" fontId="1" fillId="0" borderId="4" xfId="0" applyFont="1" applyFill="1" applyBorder="1" applyAlignment="1" applyProtection="1">
      <alignment horizontal="center" vertical="center"/>
    </xf>
    <xf numFmtId="0" fontId="1" fillId="3" borderId="0" xfId="0" applyFont="1" applyFill="1" applyProtection="1"/>
    <xf numFmtId="0" fontId="1" fillId="0" borderId="4" xfId="0" applyFont="1" applyFill="1" applyBorder="1" applyAlignment="1" applyProtection="1">
      <alignment vertical="center" textRotation="90" wrapText="1"/>
    </xf>
    <xf numFmtId="0" fontId="1" fillId="2" borderId="4" xfId="0" applyFont="1" applyFill="1" applyBorder="1" applyAlignment="1" applyProtection="1">
      <alignment horizontal="center" vertical="center" textRotation="90" wrapText="1"/>
    </xf>
    <xf numFmtId="0" fontId="1" fillId="0" borderId="4" xfId="0" applyFont="1" applyFill="1" applyBorder="1" applyAlignment="1" applyProtection="1">
      <alignment horizontal="center" vertical="center" textRotation="90" wrapText="1"/>
    </xf>
    <xf numFmtId="0" fontId="1" fillId="2" borderId="4" xfId="0" applyFont="1" applyFill="1" applyBorder="1" applyAlignment="1" applyProtection="1">
      <alignment vertical="center" textRotation="90" wrapText="1"/>
    </xf>
    <xf numFmtId="0" fontId="0" fillId="0" borderId="4" xfId="0" applyFill="1" applyBorder="1" applyProtection="1"/>
    <xf numFmtId="0" fontId="3" fillId="0" borderId="4" xfId="0" applyFont="1" applyFill="1" applyBorder="1" applyProtection="1"/>
    <xf numFmtId="0" fontId="0" fillId="0" borderId="0" xfId="0" applyFill="1" applyAlignment="1" applyProtection="1">
      <alignment wrapText="1"/>
    </xf>
    <xf numFmtId="0" fontId="2" fillId="0" borderId="4" xfId="0" applyFont="1" applyFill="1" applyBorder="1" applyProtection="1"/>
    <xf numFmtId="0" fontId="2" fillId="5" borderId="4" xfId="0" applyFont="1" applyFill="1" applyBorder="1" applyProtection="1"/>
    <xf numFmtId="0" fontId="2" fillId="6" borderId="4" xfId="0" applyFont="1" applyFill="1" applyBorder="1" applyProtection="1"/>
    <xf numFmtId="0" fontId="2" fillId="0" borderId="4" xfId="0" applyFont="1" applyFill="1" applyBorder="1" applyAlignment="1" applyProtection="1">
      <alignment wrapText="1"/>
    </xf>
    <xf numFmtId="0" fontId="1" fillId="3" borderId="4" xfId="0" applyFont="1" applyFill="1" applyBorder="1" applyAlignment="1" applyProtection="1">
      <alignment horizontal="center" vertical="center"/>
    </xf>
    <xf numFmtId="0" fontId="1" fillId="0" borderId="4" xfId="0" applyFont="1" applyFill="1" applyBorder="1" applyAlignment="1" applyProtection="1">
      <alignment vertical="center"/>
    </xf>
    <xf numFmtId="0" fontId="1" fillId="2" borderId="5" xfId="0" applyFont="1" applyFill="1" applyBorder="1" applyProtection="1"/>
    <xf numFmtId="0" fontId="0" fillId="2" borderId="6" xfId="0" applyFill="1" applyBorder="1" applyProtection="1"/>
    <xf numFmtId="0" fontId="0" fillId="2" borderId="7" xfId="0" applyFill="1" applyBorder="1" applyProtection="1"/>
    <xf numFmtId="0" fontId="1" fillId="0" borderId="4" xfId="0" applyFont="1" applyFill="1" applyBorder="1" applyProtection="1"/>
    <xf numFmtId="0" fontId="1" fillId="2" borderId="4" xfId="0" applyFont="1" applyFill="1" applyBorder="1" applyAlignment="1" applyProtection="1">
      <alignment vertical="center"/>
    </xf>
    <xf numFmtId="0" fontId="0" fillId="0" borderId="4" xfId="0" applyFill="1" applyBorder="1" applyAlignment="1" applyProtection="1">
      <alignment vertical="center"/>
    </xf>
    <xf numFmtId="0" fontId="0" fillId="2" borderId="8" xfId="0" applyFill="1" applyBorder="1" applyProtection="1"/>
    <xf numFmtId="0" fontId="0" fillId="0" borderId="4" xfId="0" applyFill="1" applyBorder="1" applyAlignment="1" applyProtection="1">
      <alignment vertical="center" wrapText="1"/>
    </xf>
    <xf numFmtId="0" fontId="0" fillId="0" borderId="0" xfId="0" applyFill="1" applyAlignment="1" applyProtection="1">
      <alignment vertical="center"/>
    </xf>
    <xf numFmtId="1" fontId="0" fillId="0" borderId="0" xfId="0" applyNumberFormat="1"/>
    <xf numFmtId="0" fontId="0" fillId="0" borderId="10" xfId="0" applyFill="1" applyBorder="1" applyProtection="1"/>
    <xf numFmtId="49" fontId="3" fillId="0" borderId="4" xfId="0" applyNumberFormat="1" applyFont="1" applyFill="1" applyBorder="1" applyProtection="1"/>
    <xf numFmtId="49" fontId="0" fillId="0" borderId="4" xfId="0" applyNumberFormat="1" applyFill="1" applyBorder="1" applyProtection="1"/>
    <xf numFmtId="0" fontId="1" fillId="3" borderId="1" xfId="0" applyFont="1" applyFill="1" applyBorder="1" applyAlignment="1" applyProtection="1">
      <alignment horizontal="center"/>
    </xf>
    <xf numFmtId="0" fontId="1" fillId="3" borderId="2" xfId="0" applyFont="1" applyFill="1" applyBorder="1" applyAlignment="1" applyProtection="1">
      <alignment horizontal="center"/>
    </xf>
    <xf numFmtId="0" fontId="1" fillId="3" borderId="4" xfId="0" applyFont="1" applyFill="1" applyBorder="1" applyAlignment="1" applyProtection="1">
      <alignment horizontal="center"/>
    </xf>
    <xf numFmtId="0" fontId="1" fillId="4" borderId="2" xfId="0" applyFont="1" applyFill="1" applyBorder="1" applyAlignment="1" applyProtection="1">
      <alignment horizontal="center"/>
    </xf>
    <xf numFmtId="0" fontId="1" fillId="4" borderId="3" xfId="0" applyFont="1" applyFill="1" applyBorder="1" applyAlignment="1" applyProtection="1">
      <alignment horizontal="center"/>
    </xf>
    <xf numFmtId="0" fontId="1" fillId="4" borderId="1" xfId="0" applyFont="1" applyFill="1" applyBorder="1" applyAlignment="1" applyProtection="1">
      <alignment horizontal="center"/>
    </xf>
    <xf numFmtId="0" fontId="1" fillId="4" borderId="4" xfId="0" applyFont="1" applyFill="1" applyBorder="1" applyAlignment="1" applyProtection="1">
      <alignment horizontal="center"/>
    </xf>
    <xf numFmtId="0" fontId="1" fillId="3" borderId="3" xfId="0" applyFont="1" applyFill="1" applyBorder="1" applyAlignment="1" applyProtection="1">
      <alignment horizontal="center"/>
    </xf>
    <xf numFmtId="0" fontId="1" fillId="0" borderId="9" xfId="0" applyFont="1" applyFill="1" applyBorder="1" applyAlignment="1" applyProtection="1">
      <alignment horizontal="center"/>
    </xf>
    <xf numFmtId="0" fontId="1" fillId="0" borderId="4" xfId="0" applyFont="1" applyFill="1" applyBorder="1" applyAlignment="1" applyProtection="1">
      <alignment horizontal="center" vertical="center"/>
    </xf>
    <xf numFmtId="0" fontId="1" fillId="3" borderId="4" xfId="0" applyFont="1" applyFill="1" applyBorder="1" applyAlignment="1" applyProtection="1">
      <alignment horizontal="center" wrapText="1"/>
    </xf>
    <xf numFmtId="0" fontId="1" fillId="3" borderId="4" xfId="0" applyFont="1" applyFill="1" applyBorder="1" applyAlignment="1" applyProtection="1">
      <alignment horizontal="center" vertical="center"/>
    </xf>
    <xf numFmtId="0" fontId="1" fillId="4" borderId="4" xfId="0" applyFont="1" applyFill="1" applyBorder="1" applyAlignment="1" applyProtection="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1515FFD6-E075-444A-B65E-40F2696E734A}" type="doc">
      <dgm:prSet loTypeId="urn:microsoft.com/office/officeart/2005/8/layout/chevron2" loCatId="process" qsTypeId="urn:microsoft.com/office/officeart/2005/8/quickstyle/simple1" qsCatId="simple" csTypeId="urn:microsoft.com/office/officeart/2005/8/colors/accent1_2" csCatId="accent1" phldr="1"/>
      <dgm:spPr/>
      <dgm:t>
        <a:bodyPr/>
        <a:lstStyle/>
        <a:p>
          <a:endParaRPr lang="en-US"/>
        </a:p>
      </dgm:t>
    </dgm:pt>
    <dgm:pt modelId="{0BF00F5A-1E85-42D3-B968-4EF6F6944220}">
      <dgm:prSet phldrT="[Text]" custT="1"/>
      <dgm:spPr/>
      <dgm:t>
        <a:bodyPr/>
        <a:lstStyle/>
        <a:p>
          <a:r>
            <a:rPr lang="en-US" sz="1600"/>
            <a:t>IO</a:t>
          </a:r>
        </a:p>
      </dgm:t>
    </dgm:pt>
    <dgm:pt modelId="{8F625DF5-7F5C-4291-B878-7EF84F98BDE1}" type="parTrans" cxnId="{9C7226B7-9E0E-421F-AC81-9ABE738D41F8}">
      <dgm:prSet/>
      <dgm:spPr/>
      <dgm:t>
        <a:bodyPr/>
        <a:lstStyle/>
        <a:p>
          <a:endParaRPr lang="en-US" sz="1000"/>
        </a:p>
      </dgm:t>
    </dgm:pt>
    <dgm:pt modelId="{F10E0632-4FAE-4C41-999F-10CA3D4E050E}" type="sibTrans" cxnId="{9C7226B7-9E0E-421F-AC81-9ABE738D41F8}">
      <dgm:prSet/>
      <dgm:spPr/>
      <dgm:t>
        <a:bodyPr/>
        <a:lstStyle/>
        <a:p>
          <a:endParaRPr lang="en-US" sz="1000"/>
        </a:p>
      </dgm:t>
    </dgm:pt>
    <dgm:pt modelId="{B3DA990E-812D-47E7-82D2-48BC376252CC}">
      <dgm:prSet phldrT="[Text]" custT="1"/>
      <dgm:spPr/>
      <dgm:t>
        <a:bodyPr/>
        <a:lstStyle/>
        <a:p>
          <a:r>
            <a:rPr lang="en-US" sz="1000"/>
            <a:t>Annual Plan Entry/Edit/Delete- Excel Upload</a:t>
          </a:r>
        </a:p>
      </dgm:t>
    </dgm:pt>
    <dgm:pt modelId="{054DFF34-DA67-4423-B723-077231506F82}" type="parTrans" cxnId="{C012A056-F4DD-465A-94B8-540AE2746DD8}">
      <dgm:prSet/>
      <dgm:spPr/>
      <dgm:t>
        <a:bodyPr/>
        <a:lstStyle/>
        <a:p>
          <a:endParaRPr lang="en-US" sz="1000"/>
        </a:p>
      </dgm:t>
    </dgm:pt>
    <dgm:pt modelId="{382C692E-3F80-45EA-B4E5-A882C884A9F2}" type="sibTrans" cxnId="{C012A056-F4DD-465A-94B8-540AE2746DD8}">
      <dgm:prSet/>
      <dgm:spPr/>
      <dgm:t>
        <a:bodyPr/>
        <a:lstStyle/>
        <a:p>
          <a:endParaRPr lang="en-US" sz="1000"/>
        </a:p>
      </dgm:t>
    </dgm:pt>
    <dgm:pt modelId="{2524A813-5A16-4BB0-96B0-05093BFC28B7}">
      <dgm:prSet phldrT="[Text]" custT="1"/>
      <dgm:spPr/>
      <dgm:t>
        <a:bodyPr/>
        <a:lstStyle/>
        <a:p>
          <a:r>
            <a:rPr lang="en-US" sz="1000"/>
            <a:t>Submit for DOL Approval</a:t>
          </a:r>
        </a:p>
      </dgm:t>
    </dgm:pt>
    <dgm:pt modelId="{58D512EE-5784-4538-9044-A5B782CC2E81}" type="parTrans" cxnId="{E349D5A4-9409-466E-8FB8-A541C00E6C00}">
      <dgm:prSet/>
      <dgm:spPr/>
      <dgm:t>
        <a:bodyPr/>
        <a:lstStyle/>
        <a:p>
          <a:endParaRPr lang="en-US" sz="1000"/>
        </a:p>
      </dgm:t>
    </dgm:pt>
    <dgm:pt modelId="{F7407ECC-EB15-4389-8595-49B746667EA8}" type="sibTrans" cxnId="{E349D5A4-9409-466E-8FB8-A541C00E6C00}">
      <dgm:prSet/>
      <dgm:spPr/>
      <dgm:t>
        <a:bodyPr/>
        <a:lstStyle/>
        <a:p>
          <a:endParaRPr lang="en-US" sz="1000"/>
        </a:p>
      </dgm:t>
    </dgm:pt>
    <dgm:pt modelId="{A3C3CF7B-C2DC-49DB-8374-F9E0A5555FEF}">
      <dgm:prSet phldrT="[Text]" custT="1"/>
      <dgm:spPr/>
      <dgm:t>
        <a:bodyPr/>
        <a:lstStyle/>
        <a:p>
          <a:r>
            <a:rPr lang="en-US" sz="1600"/>
            <a:t>DOL</a:t>
          </a:r>
        </a:p>
      </dgm:t>
    </dgm:pt>
    <dgm:pt modelId="{80E9ADC3-0B49-4640-857F-A2BAC3BE1688}" type="parTrans" cxnId="{75DD9C70-8533-4DE7-BE02-39A5B9C6ACA3}">
      <dgm:prSet/>
      <dgm:spPr/>
      <dgm:t>
        <a:bodyPr/>
        <a:lstStyle/>
        <a:p>
          <a:endParaRPr lang="en-US" sz="1000"/>
        </a:p>
      </dgm:t>
    </dgm:pt>
    <dgm:pt modelId="{CC165B94-8530-4D14-8E72-B1DD9CB3F027}" type="sibTrans" cxnId="{75DD9C70-8533-4DE7-BE02-39A5B9C6ACA3}">
      <dgm:prSet/>
      <dgm:spPr/>
      <dgm:t>
        <a:bodyPr/>
        <a:lstStyle/>
        <a:p>
          <a:endParaRPr lang="en-US" sz="1000"/>
        </a:p>
      </dgm:t>
    </dgm:pt>
    <dgm:pt modelId="{39B92415-DCA1-4421-B4F4-CF70C1C948CD}">
      <dgm:prSet phldrT="[Text]" custT="1"/>
      <dgm:spPr/>
      <dgm:t>
        <a:bodyPr/>
        <a:lstStyle/>
        <a:p>
          <a:r>
            <a:rPr lang="en-US" sz="1000"/>
            <a:t>DOL will download the Annual Plan sheet along with the summary  for review the annual plan</a:t>
          </a:r>
        </a:p>
      </dgm:t>
    </dgm:pt>
    <dgm:pt modelId="{E671C93B-5D74-41BE-A5F2-2D9D23CD89DE}" type="parTrans" cxnId="{D5526122-B522-4C22-8EE9-F434897F7981}">
      <dgm:prSet/>
      <dgm:spPr/>
      <dgm:t>
        <a:bodyPr/>
        <a:lstStyle/>
        <a:p>
          <a:endParaRPr lang="en-US" sz="1000"/>
        </a:p>
      </dgm:t>
    </dgm:pt>
    <dgm:pt modelId="{A346B363-77DA-482B-BC61-FEDF4F17D2A1}" type="sibTrans" cxnId="{D5526122-B522-4C22-8EE9-F434897F7981}">
      <dgm:prSet/>
      <dgm:spPr/>
      <dgm:t>
        <a:bodyPr/>
        <a:lstStyle/>
        <a:p>
          <a:endParaRPr lang="en-US" sz="1000"/>
        </a:p>
      </dgm:t>
    </dgm:pt>
    <dgm:pt modelId="{70F690CF-9F03-4B64-B1C1-6CE21488D01C}">
      <dgm:prSet phldrT="[Text]" custT="1"/>
      <dgm:spPr/>
      <dgm:t>
        <a:bodyPr/>
        <a:lstStyle/>
        <a:p>
          <a:r>
            <a:rPr lang="en-US" sz="1000"/>
            <a:t>DOL can either Submit the Annual plan for State Level Approval or Reject the Annual Plan for Correction along with the remark.</a:t>
          </a:r>
        </a:p>
      </dgm:t>
    </dgm:pt>
    <dgm:pt modelId="{FB583332-91B5-4FA3-AD7F-D33CDA515D1E}" type="parTrans" cxnId="{4689A3A0-92BD-4214-B0EE-E724B30980BA}">
      <dgm:prSet/>
      <dgm:spPr/>
      <dgm:t>
        <a:bodyPr/>
        <a:lstStyle/>
        <a:p>
          <a:endParaRPr lang="en-US" sz="1000"/>
        </a:p>
      </dgm:t>
    </dgm:pt>
    <dgm:pt modelId="{FDF7216E-F7DE-47BD-AED1-AE1202F1E0FF}" type="sibTrans" cxnId="{4689A3A0-92BD-4214-B0EE-E724B30980BA}">
      <dgm:prSet/>
      <dgm:spPr/>
      <dgm:t>
        <a:bodyPr/>
        <a:lstStyle/>
        <a:p>
          <a:endParaRPr lang="en-US" sz="1000"/>
        </a:p>
      </dgm:t>
    </dgm:pt>
    <dgm:pt modelId="{BCF8EBC4-FC7E-4065-A012-A058AAB5DB6B}">
      <dgm:prSet phldrT="[Text]" custT="1"/>
      <dgm:spPr/>
      <dgm:t>
        <a:bodyPr/>
        <a:lstStyle/>
        <a:p>
          <a:r>
            <a:rPr lang="en-US" sz="1600"/>
            <a:t>SOL</a:t>
          </a:r>
        </a:p>
      </dgm:t>
    </dgm:pt>
    <dgm:pt modelId="{71ABA5CB-928B-4C60-A6CC-07D96F61009C}" type="parTrans" cxnId="{10B5172C-9307-4CEF-A25A-58B8B6936220}">
      <dgm:prSet/>
      <dgm:spPr/>
      <dgm:t>
        <a:bodyPr/>
        <a:lstStyle/>
        <a:p>
          <a:endParaRPr lang="en-US" sz="1000"/>
        </a:p>
      </dgm:t>
    </dgm:pt>
    <dgm:pt modelId="{CAAC2DB5-8291-49BE-BC14-F61B3AA70CDF}" type="sibTrans" cxnId="{10B5172C-9307-4CEF-A25A-58B8B6936220}">
      <dgm:prSet/>
      <dgm:spPr/>
      <dgm:t>
        <a:bodyPr/>
        <a:lstStyle/>
        <a:p>
          <a:endParaRPr lang="en-US" sz="1000"/>
        </a:p>
      </dgm:t>
    </dgm:pt>
    <dgm:pt modelId="{A27BB114-822A-481B-875D-6F2BD912341C}">
      <dgm:prSet phldrT="[Text]" custT="1"/>
      <dgm:spPr/>
      <dgm:t>
        <a:bodyPr/>
        <a:lstStyle/>
        <a:p>
          <a:r>
            <a:rPr lang="en-US" sz="1000"/>
            <a:t>After Submission for DOL Approval, Entry module will be locked for any data update</a:t>
          </a:r>
        </a:p>
      </dgm:t>
    </dgm:pt>
    <dgm:pt modelId="{9ECE1377-184B-4E5A-A38F-E8A8035F6E3C}" type="parTrans" cxnId="{B953A1FB-EE81-4F39-827C-93E6E5C035E5}">
      <dgm:prSet/>
      <dgm:spPr/>
      <dgm:t>
        <a:bodyPr/>
        <a:lstStyle/>
        <a:p>
          <a:endParaRPr lang="en-US" sz="1000"/>
        </a:p>
      </dgm:t>
    </dgm:pt>
    <dgm:pt modelId="{4A48A69B-D0EC-498D-B7C7-54A39575CB23}" type="sibTrans" cxnId="{B953A1FB-EE81-4F39-827C-93E6E5C035E5}">
      <dgm:prSet/>
      <dgm:spPr/>
      <dgm:t>
        <a:bodyPr/>
        <a:lstStyle/>
        <a:p>
          <a:endParaRPr lang="en-US" sz="1000"/>
        </a:p>
      </dgm:t>
    </dgm:pt>
    <dgm:pt modelId="{C7823F4D-A574-4608-AB9B-DFEDD3D7412F}">
      <dgm:prSet phldrT="[Text]" custT="1"/>
      <dgm:spPr/>
      <dgm:t>
        <a:bodyPr/>
        <a:lstStyle/>
        <a:p>
          <a:r>
            <a:rPr lang="en-US" sz="1000"/>
            <a:t>In case of Rejection: Annual Plan Again Open in IO login for correction. After correction, approval process will be repeated.</a:t>
          </a:r>
        </a:p>
      </dgm:t>
    </dgm:pt>
    <dgm:pt modelId="{896D60BB-8F7B-4712-A618-5B58358DFE1B}" type="parTrans" cxnId="{D4C0B80A-1F62-4BF6-A36A-165BC27BAB92}">
      <dgm:prSet/>
      <dgm:spPr/>
      <dgm:t>
        <a:bodyPr/>
        <a:lstStyle/>
        <a:p>
          <a:endParaRPr lang="en-US" sz="1000"/>
        </a:p>
      </dgm:t>
    </dgm:pt>
    <dgm:pt modelId="{E8945385-0471-4BB5-B49D-F096DD5D7BF2}" type="sibTrans" cxnId="{D4C0B80A-1F62-4BF6-A36A-165BC27BAB92}">
      <dgm:prSet/>
      <dgm:spPr/>
      <dgm:t>
        <a:bodyPr/>
        <a:lstStyle/>
        <a:p>
          <a:endParaRPr lang="en-US" sz="1000"/>
        </a:p>
      </dgm:t>
    </dgm:pt>
    <dgm:pt modelId="{8FB23955-8F7B-45A4-B038-3B2426D392D7}">
      <dgm:prSet phldrT="[Text]" custT="1"/>
      <dgm:spPr/>
      <dgm:t>
        <a:bodyPr/>
        <a:lstStyle/>
        <a:p>
          <a:r>
            <a:rPr lang="en-US" sz="1000"/>
            <a:t>in case of Submit for State Approval--- Annual Plan will be visible in SOL login for review and approval.</a:t>
          </a:r>
        </a:p>
      </dgm:t>
    </dgm:pt>
    <dgm:pt modelId="{CBA43ACA-EBDF-4833-A53D-78F26CB5FE03}" type="parTrans" cxnId="{77259B46-9AE9-495F-A4DE-EDFD95C00844}">
      <dgm:prSet/>
      <dgm:spPr/>
      <dgm:t>
        <a:bodyPr/>
        <a:lstStyle/>
        <a:p>
          <a:endParaRPr lang="en-US" sz="1000"/>
        </a:p>
      </dgm:t>
    </dgm:pt>
    <dgm:pt modelId="{4DA074DA-94FB-4CB4-9A15-502DF1206351}" type="sibTrans" cxnId="{77259B46-9AE9-495F-A4DE-EDFD95C00844}">
      <dgm:prSet/>
      <dgm:spPr/>
      <dgm:t>
        <a:bodyPr/>
        <a:lstStyle/>
        <a:p>
          <a:endParaRPr lang="en-US" sz="1000"/>
        </a:p>
      </dgm:t>
    </dgm:pt>
    <dgm:pt modelId="{62EF456B-302D-4BFD-A4FA-B6AB95D76108}">
      <dgm:prSet phldrT="[Text]" custT="1"/>
      <dgm:spPr/>
      <dgm:t>
        <a:bodyPr/>
        <a:lstStyle/>
        <a:p>
          <a:r>
            <a:rPr lang="en-US" sz="1000"/>
            <a:t>In case of rejection, IO can edit and submit the data for approval</a:t>
          </a:r>
        </a:p>
      </dgm:t>
    </dgm:pt>
    <dgm:pt modelId="{847D877B-CBFD-498D-A451-9FE79A9B1A92}" type="parTrans" cxnId="{BE06C972-7212-4374-87FB-6F852CFA7063}">
      <dgm:prSet/>
      <dgm:spPr/>
      <dgm:t>
        <a:bodyPr/>
        <a:lstStyle/>
        <a:p>
          <a:endParaRPr lang="en-US" sz="1000"/>
        </a:p>
      </dgm:t>
    </dgm:pt>
    <dgm:pt modelId="{CE2E1B3D-0060-4AAF-A7EA-3C1E0B10C4A6}" type="sibTrans" cxnId="{BE06C972-7212-4374-87FB-6F852CFA7063}">
      <dgm:prSet/>
      <dgm:spPr/>
      <dgm:t>
        <a:bodyPr/>
        <a:lstStyle/>
        <a:p>
          <a:endParaRPr lang="en-US" sz="1000"/>
        </a:p>
      </dgm:t>
    </dgm:pt>
    <dgm:pt modelId="{D1E500A1-3838-4FE3-BADA-9DC4A17F3006}">
      <dgm:prSet phldrT="[Text]" custT="1"/>
      <dgm:spPr/>
      <dgm:t>
        <a:bodyPr/>
        <a:lstStyle/>
        <a:p>
          <a:r>
            <a:rPr lang="en-US" sz="1000"/>
            <a:t>In case of annual plan submitted for SOL approval, SOL can either approved it or reject</a:t>
          </a:r>
          <a:endParaRPr lang="en-US" sz="1600"/>
        </a:p>
      </dgm:t>
    </dgm:pt>
    <dgm:pt modelId="{B024A3F5-DA41-4CC3-9513-9124DD2B167A}" type="parTrans" cxnId="{57F2C56F-A240-453C-8D88-7D4170E243DD}">
      <dgm:prSet/>
      <dgm:spPr/>
      <dgm:t>
        <a:bodyPr/>
        <a:lstStyle/>
        <a:p>
          <a:endParaRPr lang="en-US"/>
        </a:p>
      </dgm:t>
    </dgm:pt>
    <dgm:pt modelId="{92F880F4-B6B7-4FE8-94EA-CCADB3911062}" type="sibTrans" cxnId="{57F2C56F-A240-453C-8D88-7D4170E243DD}">
      <dgm:prSet/>
      <dgm:spPr/>
      <dgm:t>
        <a:bodyPr/>
        <a:lstStyle/>
        <a:p>
          <a:endParaRPr lang="en-US"/>
        </a:p>
      </dgm:t>
    </dgm:pt>
    <dgm:pt modelId="{5699D017-CBE3-4F07-8C50-8B14917C4751}" type="pres">
      <dgm:prSet presAssocID="{1515FFD6-E075-444A-B65E-40F2696E734A}" presName="linearFlow" presStyleCnt="0">
        <dgm:presLayoutVars>
          <dgm:dir/>
          <dgm:animLvl val="lvl"/>
          <dgm:resizeHandles val="exact"/>
        </dgm:presLayoutVars>
      </dgm:prSet>
      <dgm:spPr/>
      <dgm:t>
        <a:bodyPr/>
        <a:lstStyle/>
        <a:p>
          <a:endParaRPr lang="en-IN"/>
        </a:p>
      </dgm:t>
    </dgm:pt>
    <dgm:pt modelId="{52C05D42-7310-4D76-810C-0EC52B9CE1BB}" type="pres">
      <dgm:prSet presAssocID="{0BF00F5A-1E85-42D3-B968-4EF6F6944220}" presName="composite" presStyleCnt="0"/>
      <dgm:spPr/>
    </dgm:pt>
    <dgm:pt modelId="{6BE8794D-01A0-4D61-9726-46438D106739}" type="pres">
      <dgm:prSet presAssocID="{0BF00F5A-1E85-42D3-B968-4EF6F6944220}" presName="parentText" presStyleLbl="alignNode1" presStyleIdx="0" presStyleCnt="3">
        <dgm:presLayoutVars>
          <dgm:chMax val="1"/>
          <dgm:bulletEnabled val="1"/>
        </dgm:presLayoutVars>
      </dgm:prSet>
      <dgm:spPr/>
      <dgm:t>
        <a:bodyPr/>
        <a:lstStyle/>
        <a:p>
          <a:endParaRPr lang="en-IN"/>
        </a:p>
      </dgm:t>
    </dgm:pt>
    <dgm:pt modelId="{A87D9DFE-D5C9-4429-B555-6E43949D2667}" type="pres">
      <dgm:prSet presAssocID="{0BF00F5A-1E85-42D3-B968-4EF6F6944220}" presName="descendantText" presStyleLbl="alignAcc1" presStyleIdx="0" presStyleCnt="3">
        <dgm:presLayoutVars>
          <dgm:bulletEnabled val="1"/>
        </dgm:presLayoutVars>
      </dgm:prSet>
      <dgm:spPr/>
      <dgm:t>
        <a:bodyPr/>
        <a:lstStyle/>
        <a:p>
          <a:endParaRPr lang="en-IN"/>
        </a:p>
      </dgm:t>
    </dgm:pt>
    <dgm:pt modelId="{C89271C6-9A3E-4ED4-BF2A-7FB0B4431890}" type="pres">
      <dgm:prSet presAssocID="{F10E0632-4FAE-4C41-999F-10CA3D4E050E}" presName="sp" presStyleCnt="0"/>
      <dgm:spPr/>
    </dgm:pt>
    <dgm:pt modelId="{1C9AED15-00C8-43F1-BDC1-6773D01EA96D}" type="pres">
      <dgm:prSet presAssocID="{A3C3CF7B-C2DC-49DB-8374-F9E0A5555FEF}" presName="composite" presStyleCnt="0"/>
      <dgm:spPr/>
    </dgm:pt>
    <dgm:pt modelId="{139AD6AD-4B94-4D11-9358-F03B8E28A1AA}" type="pres">
      <dgm:prSet presAssocID="{A3C3CF7B-C2DC-49DB-8374-F9E0A5555FEF}" presName="parentText" presStyleLbl="alignNode1" presStyleIdx="1" presStyleCnt="3">
        <dgm:presLayoutVars>
          <dgm:chMax val="1"/>
          <dgm:bulletEnabled val="1"/>
        </dgm:presLayoutVars>
      </dgm:prSet>
      <dgm:spPr/>
      <dgm:t>
        <a:bodyPr/>
        <a:lstStyle/>
        <a:p>
          <a:endParaRPr lang="en-IN"/>
        </a:p>
      </dgm:t>
    </dgm:pt>
    <dgm:pt modelId="{A73E155D-BD91-4855-AE38-330491D113C6}" type="pres">
      <dgm:prSet presAssocID="{A3C3CF7B-C2DC-49DB-8374-F9E0A5555FEF}" presName="descendantText" presStyleLbl="alignAcc1" presStyleIdx="1" presStyleCnt="3" custScaleY="159917">
        <dgm:presLayoutVars>
          <dgm:bulletEnabled val="1"/>
        </dgm:presLayoutVars>
      </dgm:prSet>
      <dgm:spPr/>
      <dgm:t>
        <a:bodyPr/>
        <a:lstStyle/>
        <a:p>
          <a:endParaRPr lang="en-IN"/>
        </a:p>
      </dgm:t>
    </dgm:pt>
    <dgm:pt modelId="{7B795BB0-72D3-423D-8BF2-B87D15322E46}" type="pres">
      <dgm:prSet presAssocID="{CC165B94-8530-4D14-8E72-B1DD9CB3F027}" presName="sp" presStyleCnt="0"/>
      <dgm:spPr/>
    </dgm:pt>
    <dgm:pt modelId="{A876DB71-6FAE-4F7F-A9DF-25C326560BD5}" type="pres">
      <dgm:prSet presAssocID="{BCF8EBC4-FC7E-4065-A012-A058AAB5DB6B}" presName="composite" presStyleCnt="0"/>
      <dgm:spPr/>
    </dgm:pt>
    <dgm:pt modelId="{92CA79B2-2E38-4530-8D49-22CD52F4084B}" type="pres">
      <dgm:prSet presAssocID="{BCF8EBC4-FC7E-4065-A012-A058AAB5DB6B}" presName="parentText" presStyleLbl="alignNode1" presStyleIdx="2" presStyleCnt="3">
        <dgm:presLayoutVars>
          <dgm:chMax val="1"/>
          <dgm:bulletEnabled val="1"/>
        </dgm:presLayoutVars>
      </dgm:prSet>
      <dgm:spPr/>
      <dgm:t>
        <a:bodyPr/>
        <a:lstStyle/>
        <a:p>
          <a:endParaRPr lang="en-IN"/>
        </a:p>
      </dgm:t>
    </dgm:pt>
    <dgm:pt modelId="{B67ED6E3-A9A1-4B45-A30F-CA082AB95E16}" type="pres">
      <dgm:prSet presAssocID="{BCF8EBC4-FC7E-4065-A012-A058AAB5DB6B}" presName="descendantText" presStyleLbl="alignAcc1" presStyleIdx="2" presStyleCnt="3">
        <dgm:presLayoutVars>
          <dgm:bulletEnabled val="1"/>
        </dgm:presLayoutVars>
      </dgm:prSet>
      <dgm:spPr/>
      <dgm:t>
        <a:bodyPr/>
        <a:lstStyle/>
        <a:p>
          <a:endParaRPr lang="en-IN"/>
        </a:p>
      </dgm:t>
    </dgm:pt>
  </dgm:ptLst>
  <dgm:cxnLst>
    <dgm:cxn modelId="{E68AEE03-CA5C-4288-B721-F80F5F250B2D}" type="presOf" srcId="{70F690CF-9F03-4B64-B1C1-6CE21488D01C}" destId="{A73E155D-BD91-4855-AE38-330491D113C6}" srcOrd="0" destOrd="1" presId="urn:microsoft.com/office/officeart/2005/8/layout/chevron2"/>
    <dgm:cxn modelId="{9C7226B7-9E0E-421F-AC81-9ABE738D41F8}" srcId="{1515FFD6-E075-444A-B65E-40F2696E734A}" destId="{0BF00F5A-1E85-42D3-B968-4EF6F6944220}" srcOrd="0" destOrd="0" parTransId="{8F625DF5-7F5C-4291-B878-7EF84F98BDE1}" sibTransId="{F10E0632-4FAE-4C41-999F-10CA3D4E050E}"/>
    <dgm:cxn modelId="{D4C0B80A-1F62-4BF6-A36A-165BC27BAB92}" srcId="{A3C3CF7B-C2DC-49DB-8374-F9E0A5555FEF}" destId="{C7823F4D-A574-4608-AB9B-DFEDD3D7412F}" srcOrd="2" destOrd="0" parTransId="{896D60BB-8F7B-4712-A618-5B58358DFE1B}" sibTransId="{E8945385-0471-4BB5-B49D-F096DD5D7BF2}"/>
    <dgm:cxn modelId="{27C2DA3E-1E2A-4FCF-9CAE-F923145F7081}" type="presOf" srcId="{0BF00F5A-1E85-42D3-B968-4EF6F6944220}" destId="{6BE8794D-01A0-4D61-9726-46438D106739}" srcOrd="0" destOrd="0" presId="urn:microsoft.com/office/officeart/2005/8/layout/chevron2"/>
    <dgm:cxn modelId="{75DD9C70-8533-4DE7-BE02-39A5B9C6ACA3}" srcId="{1515FFD6-E075-444A-B65E-40F2696E734A}" destId="{A3C3CF7B-C2DC-49DB-8374-F9E0A5555FEF}" srcOrd="1" destOrd="0" parTransId="{80E9ADC3-0B49-4640-857F-A2BAC3BE1688}" sibTransId="{CC165B94-8530-4D14-8E72-B1DD9CB3F027}"/>
    <dgm:cxn modelId="{26261BAD-3BA3-435E-9A39-A207657B4767}" type="presOf" srcId="{2524A813-5A16-4BB0-96B0-05093BFC28B7}" destId="{A87D9DFE-D5C9-4429-B555-6E43949D2667}" srcOrd="0" destOrd="1" presId="urn:microsoft.com/office/officeart/2005/8/layout/chevron2"/>
    <dgm:cxn modelId="{4552BDE2-6896-4E86-A8B4-B6EBEBB1FEFD}" type="presOf" srcId="{A27BB114-822A-481B-875D-6F2BD912341C}" destId="{A87D9DFE-D5C9-4429-B555-6E43949D2667}" srcOrd="0" destOrd="2" presId="urn:microsoft.com/office/officeart/2005/8/layout/chevron2"/>
    <dgm:cxn modelId="{332477A9-CBF5-4B79-B098-625142917F5B}" type="presOf" srcId="{1515FFD6-E075-444A-B65E-40F2696E734A}" destId="{5699D017-CBE3-4F07-8C50-8B14917C4751}" srcOrd="0" destOrd="0" presId="urn:microsoft.com/office/officeart/2005/8/layout/chevron2"/>
    <dgm:cxn modelId="{D5526122-B522-4C22-8EE9-F434897F7981}" srcId="{A3C3CF7B-C2DC-49DB-8374-F9E0A5555FEF}" destId="{39B92415-DCA1-4421-B4F4-CF70C1C948CD}" srcOrd="0" destOrd="0" parTransId="{E671C93B-5D74-41BE-A5F2-2D9D23CD89DE}" sibTransId="{A346B363-77DA-482B-BC61-FEDF4F17D2A1}"/>
    <dgm:cxn modelId="{E8C10CDB-53B1-4C51-B16C-D54AD2874BEC}" type="presOf" srcId="{8FB23955-8F7B-45A4-B038-3B2426D392D7}" destId="{A73E155D-BD91-4855-AE38-330491D113C6}" srcOrd="0" destOrd="3" presId="urn:microsoft.com/office/officeart/2005/8/layout/chevron2"/>
    <dgm:cxn modelId="{E349D5A4-9409-466E-8FB8-A541C00E6C00}" srcId="{0BF00F5A-1E85-42D3-B968-4EF6F6944220}" destId="{2524A813-5A16-4BB0-96B0-05093BFC28B7}" srcOrd="1" destOrd="0" parTransId="{58D512EE-5784-4538-9044-A5B782CC2E81}" sibTransId="{F7407ECC-EB15-4389-8595-49B746667EA8}"/>
    <dgm:cxn modelId="{C012A056-F4DD-465A-94B8-540AE2746DD8}" srcId="{0BF00F5A-1E85-42D3-B968-4EF6F6944220}" destId="{B3DA990E-812D-47E7-82D2-48BC376252CC}" srcOrd="0" destOrd="0" parTransId="{054DFF34-DA67-4423-B723-077231506F82}" sibTransId="{382C692E-3F80-45EA-B4E5-A882C884A9F2}"/>
    <dgm:cxn modelId="{BE06C972-7212-4374-87FB-6F852CFA7063}" srcId="{BCF8EBC4-FC7E-4065-A012-A058AAB5DB6B}" destId="{62EF456B-302D-4BFD-A4FA-B6AB95D76108}" srcOrd="1" destOrd="0" parTransId="{847D877B-CBFD-498D-A451-9FE79A9B1A92}" sibTransId="{CE2E1B3D-0060-4AAF-A7EA-3C1E0B10C4A6}"/>
    <dgm:cxn modelId="{B953A1FB-EE81-4F39-827C-93E6E5C035E5}" srcId="{0BF00F5A-1E85-42D3-B968-4EF6F6944220}" destId="{A27BB114-822A-481B-875D-6F2BD912341C}" srcOrd="2" destOrd="0" parTransId="{9ECE1377-184B-4E5A-A38F-E8A8035F6E3C}" sibTransId="{4A48A69B-D0EC-498D-B7C7-54A39575CB23}"/>
    <dgm:cxn modelId="{0A8BC21B-9C7C-49DE-AF96-389BA74383D8}" type="presOf" srcId="{62EF456B-302D-4BFD-A4FA-B6AB95D76108}" destId="{B67ED6E3-A9A1-4B45-A30F-CA082AB95E16}" srcOrd="0" destOrd="1" presId="urn:microsoft.com/office/officeart/2005/8/layout/chevron2"/>
    <dgm:cxn modelId="{30283B72-C3B7-4453-ACBF-06AF8513C32B}" type="presOf" srcId="{C7823F4D-A574-4608-AB9B-DFEDD3D7412F}" destId="{A73E155D-BD91-4855-AE38-330491D113C6}" srcOrd="0" destOrd="2" presId="urn:microsoft.com/office/officeart/2005/8/layout/chevron2"/>
    <dgm:cxn modelId="{77259B46-9AE9-495F-A4DE-EDFD95C00844}" srcId="{A3C3CF7B-C2DC-49DB-8374-F9E0A5555FEF}" destId="{8FB23955-8F7B-45A4-B038-3B2426D392D7}" srcOrd="3" destOrd="0" parTransId="{CBA43ACA-EBDF-4833-A53D-78F26CB5FE03}" sibTransId="{4DA074DA-94FB-4CB4-9A15-502DF1206351}"/>
    <dgm:cxn modelId="{57F2C56F-A240-453C-8D88-7D4170E243DD}" srcId="{BCF8EBC4-FC7E-4065-A012-A058AAB5DB6B}" destId="{D1E500A1-3838-4FE3-BADA-9DC4A17F3006}" srcOrd="0" destOrd="0" parTransId="{B024A3F5-DA41-4CC3-9513-9124DD2B167A}" sibTransId="{92F880F4-B6B7-4FE8-94EA-CCADB3911062}"/>
    <dgm:cxn modelId="{E824561B-7CF2-493F-8A9C-2342B277B21A}" type="presOf" srcId="{A3C3CF7B-C2DC-49DB-8374-F9E0A5555FEF}" destId="{139AD6AD-4B94-4D11-9358-F03B8E28A1AA}" srcOrd="0" destOrd="0" presId="urn:microsoft.com/office/officeart/2005/8/layout/chevron2"/>
    <dgm:cxn modelId="{10B5172C-9307-4CEF-A25A-58B8B6936220}" srcId="{1515FFD6-E075-444A-B65E-40F2696E734A}" destId="{BCF8EBC4-FC7E-4065-A012-A058AAB5DB6B}" srcOrd="2" destOrd="0" parTransId="{71ABA5CB-928B-4C60-A6CC-07D96F61009C}" sibTransId="{CAAC2DB5-8291-49BE-BC14-F61B3AA70CDF}"/>
    <dgm:cxn modelId="{5E68EFA1-C142-486D-AD70-99511DD214BA}" type="presOf" srcId="{B3DA990E-812D-47E7-82D2-48BC376252CC}" destId="{A87D9DFE-D5C9-4429-B555-6E43949D2667}" srcOrd="0" destOrd="0" presId="urn:microsoft.com/office/officeart/2005/8/layout/chevron2"/>
    <dgm:cxn modelId="{4689A3A0-92BD-4214-B0EE-E724B30980BA}" srcId="{A3C3CF7B-C2DC-49DB-8374-F9E0A5555FEF}" destId="{70F690CF-9F03-4B64-B1C1-6CE21488D01C}" srcOrd="1" destOrd="0" parTransId="{FB583332-91B5-4FA3-AD7F-D33CDA515D1E}" sibTransId="{FDF7216E-F7DE-47BD-AED1-AE1202F1E0FF}"/>
    <dgm:cxn modelId="{E8C5C7D5-333C-42F9-8180-88116C5C13A7}" type="presOf" srcId="{D1E500A1-3838-4FE3-BADA-9DC4A17F3006}" destId="{B67ED6E3-A9A1-4B45-A30F-CA082AB95E16}" srcOrd="0" destOrd="0" presId="urn:microsoft.com/office/officeart/2005/8/layout/chevron2"/>
    <dgm:cxn modelId="{F538252C-E3CD-45D6-9E21-D436EC6F7371}" type="presOf" srcId="{39B92415-DCA1-4421-B4F4-CF70C1C948CD}" destId="{A73E155D-BD91-4855-AE38-330491D113C6}" srcOrd="0" destOrd="0" presId="urn:microsoft.com/office/officeart/2005/8/layout/chevron2"/>
    <dgm:cxn modelId="{A3863ECB-43B6-46D8-A00E-1B32C025C009}" type="presOf" srcId="{BCF8EBC4-FC7E-4065-A012-A058AAB5DB6B}" destId="{92CA79B2-2E38-4530-8D49-22CD52F4084B}" srcOrd="0" destOrd="0" presId="urn:microsoft.com/office/officeart/2005/8/layout/chevron2"/>
    <dgm:cxn modelId="{6DF46508-3F60-451C-8ECC-6D03F9778F8D}" type="presParOf" srcId="{5699D017-CBE3-4F07-8C50-8B14917C4751}" destId="{52C05D42-7310-4D76-810C-0EC52B9CE1BB}" srcOrd="0" destOrd="0" presId="urn:microsoft.com/office/officeart/2005/8/layout/chevron2"/>
    <dgm:cxn modelId="{750EA925-7D47-4CF4-BE59-EDCF82044B78}" type="presParOf" srcId="{52C05D42-7310-4D76-810C-0EC52B9CE1BB}" destId="{6BE8794D-01A0-4D61-9726-46438D106739}" srcOrd="0" destOrd="0" presId="urn:microsoft.com/office/officeart/2005/8/layout/chevron2"/>
    <dgm:cxn modelId="{E7C99140-F33D-49DD-8E71-F449BA8ACD2B}" type="presParOf" srcId="{52C05D42-7310-4D76-810C-0EC52B9CE1BB}" destId="{A87D9DFE-D5C9-4429-B555-6E43949D2667}" srcOrd="1" destOrd="0" presId="urn:microsoft.com/office/officeart/2005/8/layout/chevron2"/>
    <dgm:cxn modelId="{B748D639-3352-4B96-95C3-8B328E0AC12F}" type="presParOf" srcId="{5699D017-CBE3-4F07-8C50-8B14917C4751}" destId="{C89271C6-9A3E-4ED4-BF2A-7FB0B4431890}" srcOrd="1" destOrd="0" presId="urn:microsoft.com/office/officeart/2005/8/layout/chevron2"/>
    <dgm:cxn modelId="{7B114098-D151-40B0-8371-C299B7B49647}" type="presParOf" srcId="{5699D017-CBE3-4F07-8C50-8B14917C4751}" destId="{1C9AED15-00C8-43F1-BDC1-6773D01EA96D}" srcOrd="2" destOrd="0" presId="urn:microsoft.com/office/officeart/2005/8/layout/chevron2"/>
    <dgm:cxn modelId="{9B4B8D9A-303A-40A1-A999-A21BD34B6FA6}" type="presParOf" srcId="{1C9AED15-00C8-43F1-BDC1-6773D01EA96D}" destId="{139AD6AD-4B94-4D11-9358-F03B8E28A1AA}" srcOrd="0" destOrd="0" presId="urn:microsoft.com/office/officeart/2005/8/layout/chevron2"/>
    <dgm:cxn modelId="{55433B26-8558-452F-8E25-468281EEE28F}" type="presParOf" srcId="{1C9AED15-00C8-43F1-BDC1-6773D01EA96D}" destId="{A73E155D-BD91-4855-AE38-330491D113C6}" srcOrd="1" destOrd="0" presId="urn:microsoft.com/office/officeart/2005/8/layout/chevron2"/>
    <dgm:cxn modelId="{DF59916A-CB87-4C1C-9E10-FC47E3326A99}" type="presParOf" srcId="{5699D017-CBE3-4F07-8C50-8B14917C4751}" destId="{7B795BB0-72D3-423D-8BF2-B87D15322E46}" srcOrd="3" destOrd="0" presId="urn:microsoft.com/office/officeart/2005/8/layout/chevron2"/>
    <dgm:cxn modelId="{699D22B8-2AE3-4047-B009-FE8F0C4B4276}" type="presParOf" srcId="{5699D017-CBE3-4F07-8C50-8B14917C4751}" destId="{A876DB71-6FAE-4F7F-A9DF-25C326560BD5}" srcOrd="4" destOrd="0" presId="urn:microsoft.com/office/officeart/2005/8/layout/chevron2"/>
    <dgm:cxn modelId="{5F0517BF-17D9-45F5-8700-58DDF1250570}" type="presParOf" srcId="{A876DB71-6FAE-4F7F-A9DF-25C326560BD5}" destId="{92CA79B2-2E38-4530-8D49-22CD52F4084B}" srcOrd="0" destOrd="0" presId="urn:microsoft.com/office/officeart/2005/8/layout/chevron2"/>
    <dgm:cxn modelId="{CD1981B5-AA1A-4384-B680-5A6F1BCE5CDB}" type="presParOf" srcId="{A876DB71-6FAE-4F7F-A9DF-25C326560BD5}" destId="{B67ED6E3-A9A1-4B45-A30F-CA082AB95E16}" srcOrd="1" destOrd="0" presId="urn:microsoft.com/office/officeart/2005/8/layout/chevron2"/>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Tree>
</dsp:drawing>
</file>

<file path=xl/diagrams/layout1.xml><?xml version="1.0" encoding="utf-8"?>
<dgm:layoutDef xmlns:dgm="http://schemas.openxmlformats.org/drawingml/2006/diagram" xmlns:a="http://schemas.openxmlformats.org/drawingml/2006/main" uniqueId="urn:microsoft.com/office/officeart/2005/8/layout/chevron2">
  <dgm:title val=""/>
  <dgm:desc val=""/>
  <dgm:catLst>
    <dgm:cat type="process" pri="12000"/>
    <dgm:cat type="list" pri="16000"/>
    <dgm:cat type="convert" pri="11000"/>
  </dgm:catLst>
  <dgm:sampData>
    <dgm:dataModel>
      <dgm:ptLst>
        <dgm:pt modelId="0" type="doc"/>
        <dgm:pt modelId="1">
          <dgm:prSet phldr="1"/>
        </dgm:pt>
        <dgm:pt modelId="11">
          <dgm:prSet phldr="1"/>
        </dgm:pt>
        <dgm:pt modelId="12">
          <dgm:prSet phldr="1"/>
        </dgm:pt>
        <dgm:pt modelId="2">
          <dgm:prSet phldr="1"/>
        </dgm:pt>
        <dgm:pt modelId="21">
          <dgm:prSet phldr="1"/>
        </dgm:pt>
        <dgm:pt modelId="22">
          <dgm:prSet phldr="1"/>
        </dgm:pt>
        <dgm:pt modelId="3">
          <dgm:prSet phldr="1"/>
        </dgm:pt>
        <dgm:pt modelId="31">
          <dgm:prSet phldr="1"/>
        </dgm:pt>
        <dgm:pt modelId="32">
          <dgm:prSet phldr="1"/>
        </dgm:pt>
      </dgm:ptLst>
      <dgm:cxnLst>
        <dgm:cxn modelId="4" srcId="0" destId="1" srcOrd="0" destOrd="0"/>
        <dgm:cxn modelId="5" srcId="0" destId="2" srcOrd="1" destOrd="0"/>
        <dgm:cxn modelId="6" srcId="0" destId="3" srcOrd="2" destOrd="0"/>
        <dgm:cxn modelId="13" srcId="1" destId="11" srcOrd="0" destOrd="0"/>
        <dgm:cxn modelId="14" srcId="1" destId="12" srcOrd="1" destOrd="0"/>
        <dgm:cxn modelId="23" srcId="2" destId="21" srcOrd="0" destOrd="0"/>
        <dgm:cxn modelId="24" srcId="2" destId="22" srcOrd="1" destOrd="0"/>
        <dgm:cxn modelId="33" srcId="3" destId="31" srcOrd="0" destOrd="0"/>
        <dgm:cxn modelId="34" srcId="3" destId="32" srcOrd="1" destOrd="0"/>
      </dgm:cxnLst>
      <dgm:bg/>
      <dgm:whole/>
    </dgm:dataModel>
  </dgm:sampData>
  <dgm:styleData>
    <dgm:dataModel>
      <dgm:ptLst>
        <dgm:pt modelId="0" type="doc"/>
        <dgm:pt modelId="1"/>
      </dgm:ptLst>
      <dgm:cxnLst>
        <dgm:cxn modelId="4" srcId="0" destId="1" srcOrd="0" destOrd="0"/>
      </dgm:cxnLst>
      <dgm:bg/>
      <dgm:whole/>
    </dgm:dataModel>
  </dgm:styleData>
  <dgm:clrData>
    <dgm:dataModel>
      <dgm:ptLst>
        <dgm:pt modelId="0" type="doc"/>
        <dgm:pt modelId="1"/>
        <dgm:pt modelId="11"/>
        <dgm:pt modelId="2"/>
        <dgm:pt modelId="21"/>
        <dgm:pt modelId="3"/>
        <dgm:pt modelId="31"/>
        <dgm:pt modelId="4"/>
        <dgm:pt modelId="41"/>
      </dgm:ptLst>
      <dgm:cxnLst>
        <dgm:cxn modelId="5" srcId="0" destId="1" srcOrd="0" destOrd="0"/>
        <dgm:cxn modelId="6" srcId="0" destId="2" srcOrd="1" destOrd="0"/>
        <dgm:cxn modelId="7" srcId="0" destId="3" srcOrd="2" destOrd="0"/>
        <dgm:cxn modelId="8" srcId="0" destId="4" srcOrd="3" destOrd="0"/>
        <dgm:cxn modelId="13" srcId="1" destId="11" srcOrd="0" destOrd="0"/>
        <dgm:cxn modelId="23" srcId="2" destId="21" srcOrd="0" destOrd="0"/>
        <dgm:cxn modelId="33" srcId="3" destId="31" srcOrd="0" destOrd="0"/>
        <dgm:cxn modelId="43" srcId="4" destId="41" srcOrd="0" destOrd="0"/>
      </dgm:cxnLst>
      <dgm:bg/>
      <dgm:whole/>
    </dgm:dataModel>
  </dgm:clrData>
  <dgm:layoutNode name="linearFlow">
    <dgm:varLst>
      <dgm:dir/>
      <dgm:animLvl val="lvl"/>
      <dgm:resizeHandles val="exact"/>
    </dgm:varLst>
    <dgm:alg type="lin">
      <dgm:param type="linDir" val="fromT"/>
      <dgm:param type="nodeHorzAlign" val="l"/>
    </dgm:alg>
    <dgm:shape xmlns:r="http://schemas.openxmlformats.org/officeDocument/2006/relationships" r:blip="">
      <dgm:adjLst/>
    </dgm:shape>
    <dgm:presOf/>
    <dgm:constrLst>
      <dgm:constr type="h" for="ch" forName="composite" refType="h"/>
      <dgm:constr type="w" for="ch" forName="composite" refType="w"/>
      <dgm:constr type="h" for="des" forName="parentText" op="equ"/>
      <dgm:constr type="h" for="ch" forName="sp" val="-14.88"/>
      <dgm:constr type="h" for="ch" forName="sp" refType="w" refFor="des" refForName="parentText" op="gte" fact="-0.3"/>
      <dgm:constr type="primFontSz" for="des" forName="parentText" op="equ" val="65"/>
      <dgm:constr type="primFontSz" for="des" forName="descendantText" op="equ" val="65"/>
    </dgm:constrLst>
    <dgm:ruleLst/>
    <dgm:forEach name="Name0" axis="ch" ptType="node">
      <dgm:layoutNode name="composite">
        <dgm:alg type="composite"/>
        <dgm:shape xmlns:r="http://schemas.openxmlformats.org/officeDocument/2006/relationships" r:blip="">
          <dgm:adjLst/>
        </dgm:shape>
        <dgm:presOf/>
        <dgm:choose name="Name1">
          <dgm:if name="Name2" func="var" arg="dir" op="equ" val="norm">
            <dgm:constrLst>
              <dgm:constr type="t" for="ch" forName="parentText"/>
              <dgm:constr type="l" for="ch" forName="parentText"/>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refType="w" refFor="ch" refForName="pare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if>
          <dgm:else name="Name3">
            <dgm:constrLst>
              <dgm:constr type="t" for="ch" forName="parentText"/>
              <dgm:constr type="r" for="ch" forName="parentText" refType="w"/>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else>
        </dgm:choose>
        <dgm:ruleLst/>
        <dgm:layoutNode name="parentText" styleLbl="alignNode1">
          <dgm:varLst>
            <dgm:chMax val="1"/>
            <dgm:bulletEnabled val="1"/>
          </dgm:varLst>
          <dgm:alg type="tx"/>
          <dgm:shape xmlns:r="http://schemas.openxmlformats.org/officeDocument/2006/relationships" rot="90" type="chevron" r:blip="">
            <dgm:adjLst/>
          </dgm:shape>
          <dgm:presOf axis="self" ptType="node"/>
          <dgm:constrLst>
            <dgm:constr type="lMarg" refType="primFontSz" fact="0.05"/>
            <dgm:constr type="rMarg" refType="primFontSz" fact="0.05"/>
            <dgm:constr type="tMarg" refType="primFontSz" fact="0.05"/>
            <dgm:constr type="bMarg" refType="primFontSz" fact="0.05"/>
          </dgm:constrLst>
          <dgm:ruleLst>
            <dgm:rule type="h" val="100" fact="NaN" max="NaN"/>
            <dgm:rule type="primFontSz" val="24" fact="NaN" max="NaN"/>
            <dgm:rule type="h" val="110" fact="NaN" max="NaN"/>
            <dgm:rule type="primFontSz" val="18" fact="NaN" max="NaN"/>
            <dgm:rule type="h" val="INF" fact="NaN" max="NaN"/>
            <dgm:rule type="primFontSz" val="5" fact="NaN" max="NaN"/>
          </dgm:ruleLst>
        </dgm:layoutNode>
        <dgm:layoutNode name="descendantText" styleLbl="alignAcc1">
          <dgm:varLst>
            <dgm:bulletEnabled val="1"/>
          </dgm:varLst>
          <dgm:choose name="Name4">
            <dgm:if name="Name5" func="var" arg="dir" op="equ" val="norm">
              <dgm:alg type="tx">
                <dgm:param type="stBulletLvl" val="1"/>
                <dgm:param type="txAnchorVertCh" val="mid"/>
              </dgm:alg>
              <dgm:shape xmlns:r="http://schemas.openxmlformats.org/officeDocument/2006/relationships" rot="90" type="round2SameRect" r:blip="">
                <dgm:adjLst/>
              </dgm:shape>
            </dgm:if>
            <dgm:else name="Name6">
              <dgm:alg type="tx">
                <dgm:param type="stBulletLvl" val="1"/>
                <dgm:param type="txAnchorVertCh" val="mid"/>
              </dgm:alg>
              <dgm:shape xmlns:r="http://schemas.openxmlformats.org/officeDocument/2006/relationships" rot="-90" type="round2SameRect" r:blip="">
                <dgm:adjLst/>
              </dgm:shape>
            </dgm:else>
          </dgm:choose>
          <dgm:presOf axis="des" ptType="node"/>
          <dgm:choose name="Name7">
            <dgm:if name="Name8" func="var" arg="dir" op="equ" val="norm">
              <dgm:constrLst>
                <dgm:constr type="secFontSz" refType="primFontSz"/>
                <dgm:constr type="tMarg" refType="primFontSz" fact="0.05"/>
                <dgm:constr type="bMarg" refType="primFontSz" fact="0.05"/>
                <dgm:constr type="rMarg" refType="primFontSz" fact="0.05"/>
              </dgm:constrLst>
            </dgm:if>
            <dgm:else name="Name9">
              <dgm:constrLst>
                <dgm:constr type="secFontSz" refType="primFontSz"/>
                <dgm:constr type="tMarg" refType="primFontSz" fact="0.05"/>
                <dgm:constr type="bMarg" refType="primFontSz" fact="0.05"/>
                <dgm:constr type="lMarg" refType="primFontSz" fact="0.05"/>
              </dgm:constrLst>
            </dgm:else>
          </dgm:choose>
          <dgm:ruleLst>
            <dgm:rule type="primFontSz" val="5" fact="NaN" max="NaN"/>
          </dgm:ruleLst>
        </dgm:layoutNode>
      </dgm:layoutNode>
      <dgm:forEach name="Name10" axis="followSib" ptType="sibTrans" cnt="1">
        <dgm:layoutNode name="sp">
          <dgm:alg type="sp"/>
          <dgm:shape xmlns:r="http://schemas.openxmlformats.org/officeDocument/2006/relationships" r:blip="">
            <dgm:adjLst/>
          </dgm:shape>
          <dgm:presOf axis="self"/>
          <dgm:constrLst>
            <dgm:constr type="w" val="1"/>
            <dgm:constr type="h" val="37.5"/>
          </dgm:constrLst>
          <dgm:ruleLst/>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3" Type="http://schemas.openxmlformats.org/officeDocument/2006/relationships/diagramQuickStyle" Target="../diagrams/quickStyle1.xml"/><Relationship Id="rId2" Type="http://schemas.openxmlformats.org/officeDocument/2006/relationships/diagramLayout" Target="../diagrams/layout1.xml"/><Relationship Id="rId1" Type="http://schemas.openxmlformats.org/officeDocument/2006/relationships/diagramData" Target="../diagrams/data1.xml"/><Relationship Id="rId5" Type="http://schemas.microsoft.com/office/2007/relationships/diagramDrawing" Target="../diagrams/drawing1.xml"/><Relationship Id="rId4" Type="http://schemas.openxmlformats.org/officeDocument/2006/relationships/diagramColors" Target="../diagrams/colors1.xml"/></Relationships>
</file>

<file path=xl/drawings/drawing1.xml><?xml version="1.0" encoding="utf-8"?>
<xdr:wsDr xmlns:xdr="http://schemas.openxmlformats.org/drawingml/2006/spreadsheetDrawing" xmlns:a="http://schemas.openxmlformats.org/drawingml/2006/main">
  <xdr:twoCellAnchor>
    <xdr:from>
      <xdr:col>4</xdr:col>
      <xdr:colOff>19050</xdr:colOff>
      <xdr:row>9</xdr:row>
      <xdr:rowOff>177800</xdr:rowOff>
    </xdr:from>
    <xdr:to>
      <xdr:col>4</xdr:col>
      <xdr:colOff>5022850</xdr:colOff>
      <xdr:row>32</xdr:row>
      <xdr:rowOff>113243</xdr:rowOff>
    </xdr:to>
    <xdr:graphicFrame macro="">
      <xdr:nvGraphicFramePr>
        <xdr:cNvPr id="3" name="Diagram 2">
          <a:extLst>
            <a:ext uri="{FF2B5EF4-FFF2-40B4-BE49-F238E27FC236}">
              <a16:creationId xmlns="" xmlns:a16="http://schemas.microsoft.com/office/drawing/2014/main" id="{7E62E484-F5DA-441F-974F-AE763F57A332}"/>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F144"/>
  <sheetViews>
    <sheetView tabSelected="1" topLeftCell="AB1" workbookViewId="0">
      <selection activeCell="AU9" sqref="AU9"/>
    </sheetView>
  </sheetViews>
  <sheetFormatPr defaultRowHeight="15" x14ac:dyDescent="0.25"/>
  <cols>
    <col min="1" max="1" width="17.42578125" style="1" bestFit="1" customWidth="1"/>
    <col min="2" max="2" width="16.5703125" style="1" bestFit="1" customWidth="1"/>
    <col min="3" max="3" width="12.140625" style="1" bestFit="1" customWidth="1"/>
    <col min="4" max="4" width="11.5703125" style="1" bestFit="1" customWidth="1"/>
    <col min="5" max="5" width="13.5703125" style="1" bestFit="1" customWidth="1"/>
    <col min="6" max="6" width="12.7109375" style="1" bestFit="1" customWidth="1"/>
    <col min="7" max="7" width="16.5703125" style="1" bestFit="1" customWidth="1"/>
    <col min="8" max="8" width="16" style="1" bestFit="1" customWidth="1"/>
    <col min="9" max="9" width="22.5703125" style="1" bestFit="1" customWidth="1"/>
    <col min="10" max="10" width="11.42578125" style="1" bestFit="1" customWidth="1"/>
    <col min="11" max="11" width="4.85546875" style="1" bestFit="1" customWidth="1"/>
    <col min="12" max="12" width="6" style="1" bestFit="1" customWidth="1"/>
    <col min="13" max="15" width="5.85546875" style="1" bestFit="1" customWidth="1"/>
    <col min="16" max="16" width="6.85546875" style="1" bestFit="1" customWidth="1"/>
    <col min="17" max="17" width="6.5703125" style="1" customWidth="1"/>
    <col min="18" max="18" width="8.140625" style="1" customWidth="1"/>
    <col min="19" max="19" width="3.85546875" style="1" bestFit="1" customWidth="1"/>
    <col min="20" max="21" width="3.42578125" style="1" bestFit="1" customWidth="1"/>
    <col min="22" max="24" width="3.85546875" style="1" bestFit="1" customWidth="1"/>
    <col min="25" max="25" width="3.42578125" style="1" bestFit="1" customWidth="1"/>
    <col min="26" max="26" width="3.85546875" style="1" bestFit="1" customWidth="1"/>
    <col min="27" max="27" width="9.7109375" style="1" customWidth="1"/>
    <col min="28" max="28" width="8.42578125" style="1" customWidth="1"/>
    <col min="29" max="29" width="5.42578125" style="1" customWidth="1"/>
    <col min="30" max="30" width="5.7109375" style="1" customWidth="1"/>
    <col min="31" max="31" width="7" style="1" customWidth="1"/>
    <col min="32" max="32" width="15.42578125" style="1" bestFit="1" customWidth="1"/>
    <col min="33" max="33" width="4.85546875" style="1" bestFit="1" customWidth="1"/>
    <col min="34" max="42" width="6" style="1" bestFit="1" customWidth="1"/>
    <col min="43" max="43" width="8.5703125" style="1" bestFit="1" customWidth="1"/>
    <col min="44" max="45" width="11.28515625" style="1" bestFit="1" customWidth="1"/>
    <col min="46" max="46" width="6" style="1" bestFit="1" customWidth="1"/>
    <col min="47" max="47" width="3.85546875" style="1" bestFit="1" customWidth="1"/>
    <col min="48" max="48" width="6" style="1" bestFit="1" customWidth="1"/>
    <col min="49" max="49" width="3.85546875" style="1" bestFit="1" customWidth="1"/>
    <col min="50" max="50" width="6" style="1" bestFit="1" customWidth="1"/>
    <col min="51" max="55" width="3.42578125" style="1" bestFit="1" customWidth="1"/>
    <col min="56" max="57" width="3.85546875" style="1" bestFit="1" customWidth="1"/>
    <col min="58" max="58" width="3.42578125" style="1" bestFit="1" customWidth="1"/>
  </cols>
  <sheetData>
    <row r="1" spans="1:58" x14ac:dyDescent="0.25">
      <c r="A1" s="38" t="s">
        <v>0</v>
      </c>
      <c r="B1" s="38"/>
      <c r="C1" s="38"/>
      <c r="D1" s="38"/>
      <c r="E1" s="38"/>
      <c r="F1" s="38"/>
      <c r="G1" s="38"/>
      <c r="H1" s="38"/>
      <c r="I1" s="38"/>
      <c r="J1" s="38"/>
    </row>
    <row r="2" spans="1:58" x14ac:dyDescent="0.25">
      <c r="A2" s="39" t="s">
        <v>1</v>
      </c>
      <c r="B2" s="39" t="s">
        <v>2</v>
      </c>
      <c r="C2" s="39" t="s">
        <v>3</v>
      </c>
      <c r="D2" s="39" t="s">
        <v>4</v>
      </c>
      <c r="E2" s="39" t="s">
        <v>5</v>
      </c>
      <c r="F2" s="39" t="s">
        <v>6</v>
      </c>
      <c r="G2" s="39" t="s">
        <v>7</v>
      </c>
      <c r="H2" s="39" t="s">
        <v>8</v>
      </c>
      <c r="I2" s="39" t="s">
        <v>9</v>
      </c>
      <c r="J2" s="39" t="s">
        <v>10</v>
      </c>
      <c r="K2" s="30" t="s">
        <v>11</v>
      </c>
      <c r="L2" s="31"/>
      <c r="M2" s="31"/>
      <c r="N2" s="31"/>
      <c r="O2" s="31"/>
      <c r="P2" s="31"/>
      <c r="Q2" s="31"/>
      <c r="R2" s="31"/>
      <c r="S2" s="31"/>
      <c r="T2" s="31"/>
      <c r="U2" s="31"/>
      <c r="V2" s="31"/>
      <c r="W2" s="31"/>
      <c r="X2" s="31"/>
      <c r="Y2" s="31"/>
      <c r="Z2" s="31"/>
      <c r="AA2" s="31"/>
      <c r="AB2" s="31"/>
      <c r="AC2" s="31"/>
      <c r="AD2" s="31"/>
      <c r="AE2" s="31"/>
      <c r="AF2" s="31"/>
      <c r="AG2" s="33" t="s">
        <v>12</v>
      </c>
      <c r="AH2" s="33"/>
      <c r="AI2" s="33"/>
      <c r="AJ2" s="33"/>
      <c r="AK2" s="33"/>
      <c r="AL2" s="33"/>
      <c r="AM2" s="33"/>
      <c r="AN2" s="33"/>
      <c r="AO2" s="33"/>
      <c r="AP2" s="33"/>
      <c r="AQ2" s="33"/>
      <c r="AR2" s="33"/>
      <c r="AS2" s="33"/>
      <c r="AT2" s="33"/>
      <c r="AU2" s="33"/>
      <c r="AV2" s="33"/>
      <c r="AW2" s="33"/>
      <c r="AX2" s="33"/>
      <c r="AY2" s="33"/>
      <c r="AZ2" s="33"/>
      <c r="BA2" s="33"/>
      <c r="BB2" s="33"/>
      <c r="BC2" s="33"/>
      <c r="BD2" s="33"/>
      <c r="BE2" s="33"/>
      <c r="BF2" s="34"/>
    </row>
    <row r="3" spans="1:58" x14ac:dyDescent="0.25">
      <c r="A3" s="39"/>
      <c r="B3" s="39"/>
      <c r="C3" s="39"/>
      <c r="D3" s="39"/>
      <c r="E3" s="39"/>
      <c r="F3" s="39"/>
      <c r="G3" s="39"/>
      <c r="H3" s="39"/>
      <c r="I3" s="39"/>
      <c r="J3" s="39"/>
      <c r="K3" s="30" t="s">
        <v>13</v>
      </c>
      <c r="L3" s="31"/>
      <c r="M3" s="32" t="s">
        <v>14</v>
      </c>
      <c r="N3" s="32"/>
      <c r="O3" s="32"/>
      <c r="P3" s="32"/>
      <c r="Q3" s="31" t="s">
        <v>15</v>
      </c>
      <c r="R3" s="31"/>
      <c r="S3" s="30" t="s">
        <v>16</v>
      </c>
      <c r="T3" s="31"/>
      <c r="U3" s="31"/>
      <c r="V3" s="31"/>
      <c r="W3" s="32" t="s">
        <v>17</v>
      </c>
      <c r="X3" s="32"/>
      <c r="Y3" s="32"/>
      <c r="Z3" s="32"/>
      <c r="AA3" s="30" t="s">
        <v>18</v>
      </c>
      <c r="AB3" s="37"/>
      <c r="AC3" s="30" t="s">
        <v>19</v>
      </c>
      <c r="AD3" s="31"/>
      <c r="AE3" s="37"/>
      <c r="AF3" s="3" t="s">
        <v>20</v>
      </c>
      <c r="AG3" s="36" t="s">
        <v>21</v>
      </c>
      <c r="AH3" s="36"/>
      <c r="AI3" s="36"/>
      <c r="AJ3" s="36"/>
      <c r="AK3" s="35" t="s">
        <v>22</v>
      </c>
      <c r="AL3" s="33"/>
      <c r="AM3" s="33"/>
      <c r="AN3" s="33"/>
      <c r="AO3" s="33"/>
      <c r="AP3" s="33"/>
      <c r="AQ3" s="33"/>
      <c r="AR3" s="33"/>
      <c r="AS3" s="34"/>
      <c r="AT3" s="35" t="s">
        <v>23</v>
      </c>
      <c r="AU3" s="33"/>
      <c r="AV3" s="33"/>
      <c r="AW3" s="33"/>
      <c r="AX3" s="34"/>
      <c r="AY3" s="36" t="s">
        <v>24</v>
      </c>
      <c r="AZ3" s="36"/>
      <c r="BA3" s="36"/>
      <c r="BB3" s="36"/>
      <c r="BC3" s="36" t="s">
        <v>25</v>
      </c>
      <c r="BD3" s="36"/>
      <c r="BE3" s="36"/>
      <c r="BF3" s="36"/>
    </row>
    <row r="4" spans="1:58" s="10" customFormat="1" ht="89.45" customHeight="1" x14ac:dyDescent="0.25">
      <c r="A4" s="39"/>
      <c r="B4" s="39"/>
      <c r="C4" s="39"/>
      <c r="D4" s="39"/>
      <c r="E4" s="39"/>
      <c r="F4" s="39"/>
      <c r="G4" s="39"/>
      <c r="H4" s="39"/>
      <c r="I4" s="39"/>
      <c r="J4" s="39"/>
      <c r="K4" s="4" t="s">
        <v>26</v>
      </c>
      <c r="L4" s="4" t="s">
        <v>27</v>
      </c>
      <c r="M4" s="4" t="s">
        <v>28</v>
      </c>
      <c r="N4" s="4" t="s">
        <v>29</v>
      </c>
      <c r="O4" s="4" t="s">
        <v>30</v>
      </c>
      <c r="P4" s="4" t="s">
        <v>31</v>
      </c>
      <c r="Q4" s="5" t="s">
        <v>32</v>
      </c>
      <c r="R4" s="5" t="s">
        <v>33</v>
      </c>
      <c r="S4" s="5" t="s">
        <v>34</v>
      </c>
      <c r="T4" s="5" t="s">
        <v>32</v>
      </c>
      <c r="U4" s="5" t="s">
        <v>33</v>
      </c>
      <c r="V4" s="5" t="s">
        <v>35</v>
      </c>
      <c r="W4" s="5" t="s">
        <v>34</v>
      </c>
      <c r="X4" s="5" t="s">
        <v>32</v>
      </c>
      <c r="Y4" s="5" t="s">
        <v>33</v>
      </c>
      <c r="Z4" s="5" t="s">
        <v>35</v>
      </c>
      <c r="AA4" s="5" t="s">
        <v>34</v>
      </c>
      <c r="AB4" s="5" t="s">
        <v>32</v>
      </c>
      <c r="AC4" s="5" t="s">
        <v>34</v>
      </c>
      <c r="AD4" s="5" t="s">
        <v>32</v>
      </c>
      <c r="AE4" s="5" t="s">
        <v>33</v>
      </c>
      <c r="AF4" s="5" t="s">
        <v>34</v>
      </c>
      <c r="AG4" s="4" t="s">
        <v>36</v>
      </c>
      <c r="AH4" s="4" t="s">
        <v>37</v>
      </c>
      <c r="AI4" s="4" t="s">
        <v>38</v>
      </c>
      <c r="AJ4" s="4" t="s">
        <v>39</v>
      </c>
      <c r="AK4" s="4" t="s">
        <v>40</v>
      </c>
      <c r="AL4" s="4" t="s">
        <v>41</v>
      </c>
      <c r="AM4" s="4" t="s">
        <v>42</v>
      </c>
      <c r="AN4" s="4" t="s">
        <v>43</v>
      </c>
      <c r="AO4" s="4" t="s">
        <v>44</v>
      </c>
      <c r="AP4" s="6" t="s">
        <v>45</v>
      </c>
      <c r="AQ4" s="6" t="s">
        <v>46</v>
      </c>
      <c r="AR4" s="4" t="s">
        <v>47</v>
      </c>
      <c r="AS4" s="6" t="s">
        <v>48</v>
      </c>
      <c r="AT4" s="7" t="s">
        <v>49</v>
      </c>
      <c r="AU4" s="7" t="s">
        <v>50</v>
      </c>
      <c r="AV4" s="7" t="s">
        <v>51</v>
      </c>
      <c r="AW4" s="5" t="s">
        <v>52</v>
      </c>
      <c r="AX4" s="5" t="s">
        <v>53</v>
      </c>
      <c r="AY4" s="4" t="s">
        <v>54</v>
      </c>
      <c r="AZ4" s="4" t="s">
        <v>55</v>
      </c>
      <c r="BA4" s="4" t="s">
        <v>56</v>
      </c>
      <c r="BB4" s="4" t="s">
        <v>57</v>
      </c>
      <c r="BC4" s="7" t="s">
        <v>34</v>
      </c>
      <c r="BD4" s="7" t="s">
        <v>32</v>
      </c>
      <c r="BE4" s="7" t="s">
        <v>33</v>
      </c>
      <c r="BF4" s="7" t="s">
        <v>35</v>
      </c>
    </row>
    <row r="5" spans="1:58" x14ac:dyDescent="0.25">
      <c r="A5" s="9" t="s">
        <v>216</v>
      </c>
      <c r="B5" s="9" t="s">
        <v>217</v>
      </c>
      <c r="C5" s="9" t="s">
        <v>60</v>
      </c>
      <c r="D5" s="9" t="s">
        <v>61</v>
      </c>
      <c r="E5" s="9" t="s">
        <v>216</v>
      </c>
      <c r="F5" s="9" t="s">
        <v>218</v>
      </c>
      <c r="G5" s="9" t="s">
        <v>216</v>
      </c>
      <c r="H5" s="9" t="s">
        <v>217</v>
      </c>
      <c r="I5" s="9" t="s">
        <v>352</v>
      </c>
      <c r="J5" s="28" t="s">
        <v>353</v>
      </c>
      <c r="K5" s="9">
        <v>8</v>
      </c>
      <c r="L5" s="9">
        <v>8</v>
      </c>
      <c r="M5" s="9">
        <v>242</v>
      </c>
      <c r="N5" s="9">
        <v>304</v>
      </c>
      <c r="O5" s="9">
        <v>175</v>
      </c>
      <c r="P5" s="9">
        <v>721</v>
      </c>
      <c r="Q5" s="26">
        <v>35</v>
      </c>
      <c r="R5" s="26">
        <v>53</v>
      </c>
      <c r="S5">
        <v>1</v>
      </c>
      <c r="T5">
        <v>0</v>
      </c>
      <c r="U5">
        <v>0</v>
      </c>
      <c r="V5">
        <v>1</v>
      </c>
      <c r="W5">
        <v>1</v>
      </c>
      <c r="X5">
        <v>1</v>
      </c>
      <c r="Y5"/>
      <c r="Z5">
        <v>1</v>
      </c>
      <c r="AA5">
        <v>1</v>
      </c>
      <c r="AB5">
        <v>0</v>
      </c>
      <c r="AC5">
        <v>0</v>
      </c>
      <c r="AD5">
        <v>0</v>
      </c>
      <c r="AE5">
        <v>0</v>
      </c>
      <c r="AF5">
        <v>5</v>
      </c>
      <c r="AG5" s="9">
        <v>18</v>
      </c>
      <c r="AH5" s="9">
        <v>12</v>
      </c>
      <c r="AI5" s="9">
        <v>7</v>
      </c>
      <c r="AJ5" s="9">
        <v>5</v>
      </c>
      <c r="AK5" s="9">
        <v>0</v>
      </c>
      <c r="AL5" s="9">
        <v>0</v>
      </c>
      <c r="AM5" s="9">
        <v>7</v>
      </c>
      <c r="AN5" s="9">
        <v>0</v>
      </c>
      <c r="AO5" s="9">
        <v>0</v>
      </c>
      <c r="AP5" s="9">
        <v>5</v>
      </c>
      <c r="AQ5" s="8">
        <v>5</v>
      </c>
      <c r="AR5" s="8">
        <v>10</v>
      </c>
      <c r="AS5" s="8">
        <v>5</v>
      </c>
      <c r="AT5">
        <v>1</v>
      </c>
      <c r="AU5">
        <v>4</v>
      </c>
      <c r="AV5">
        <v>180</v>
      </c>
      <c r="AW5">
        <v>2</v>
      </c>
      <c r="AX5">
        <v>130</v>
      </c>
      <c r="AY5" s="8">
        <v>0</v>
      </c>
      <c r="AZ5" s="8">
        <v>0</v>
      </c>
      <c r="BA5" s="8">
        <v>0</v>
      </c>
      <c r="BB5" s="9">
        <v>0</v>
      </c>
      <c r="BC5" s="27">
        <v>0</v>
      </c>
      <c r="BD5">
        <v>1</v>
      </c>
      <c r="BE5">
        <v>1</v>
      </c>
      <c r="BF5">
        <v>0</v>
      </c>
    </row>
    <row r="6" spans="1:58" x14ac:dyDescent="0.25">
      <c r="A6" s="9" t="s">
        <v>216</v>
      </c>
      <c r="B6" s="9" t="s">
        <v>217</v>
      </c>
      <c r="C6" s="9" t="s">
        <v>60</v>
      </c>
      <c r="D6" s="9" t="s">
        <v>61</v>
      </c>
      <c r="E6" s="9" t="s">
        <v>216</v>
      </c>
      <c r="F6" s="9" t="s">
        <v>218</v>
      </c>
      <c r="G6" s="9" t="s">
        <v>216</v>
      </c>
      <c r="H6" s="9" t="s">
        <v>217</v>
      </c>
      <c r="I6" s="9" t="s">
        <v>422</v>
      </c>
      <c r="J6" s="28" t="s">
        <v>423</v>
      </c>
      <c r="K6" s="9">
        <v>10</v>
      </c>
      <c r="L6" s="9">
        <v>10</v>
      </c>
      <c r="M6" s="9">
        <v>230</v>
      </c>
      <c r="N6" s="9">
        <v>306</v>
      </c>
      <c r="O6" s="9">
        <v>114</v>
      </c>
      <c r="P6" s="9">
        <v>650</v>
      </c>
      <c r="Q6" s="26">
        <v>32</v>
      </c>
      <c r="R6" s="26">
        <v>48</v>
      </c>
      <c r="S6">
        <v>1</v>
      </c>
      <c r="T6">
        <v>0</v>
      </c>
      <c r="U6">
        <v>0</v>
      </c>
      <c r="V6">
        <v>1</v>
      </c>
      <c r="W6">
        <v>1</v>
      </c>
      <c r="X6">
        <v>1</v>
      </c>
      <c r="Y6"/>
      <c r="Z6">
        <v>1</v>
      </c>
      <c r="AA6">
        <v>1</v>
      </c>
      <c r="AB6">
        <v>0</v>
      </c>
      <c r="AC6">
        <v>0</v>
      </c>
      <c r="AD6">
        <v>0</v>
      </c>
      <c r="AE6">
        <v>0</v>
      </c>
      <c r="AF6">
        <v>5</v>
      </c>
      <c r="AG6" s="9">
        <v>30</v>
      </c>
      <c r="AH6" s="9">
        <v>15</v>
      </c>
      <c r="AI6" s="9">
        <v>10</v>
      </c>
      <c r="AJ6" s="9">
        <v>5</v>
      </c>
      <c r="AK6" s="9">
        <v>0</v>
      </c>
      <c r="AL6" s="9">
        <v>0</v>
      </c>
      <c r="AM6" s="9">
        <v>10</v>
      </c>
      <c r="AN6" s="9">
        <v>0</v>
      </c>
      <c r="AO6" s="9">
        <v>0</v>
      </c>
      <c r="AP6" s="9">
        <v>5</v>
      </c>
      <c r="AQ6" s="8">
        <v>5</v>
      </c>
      <c r="AR6" s="8">
        <v>12</v>
      </c>
      <c r="AS6" s="8">
        <v>5</v>
      </c>
      <c r="AT6">
        <v>1</v>
      </c>
      <c r="AU6">
        <v>4</v>
      </c>
      <c r="AV6">
        <v>180</v>
      </c>
      <c r="AW6">
        <v>1</v>
      </c>
      <c r="AX6">
        <f t="shared" ref="AX6:AX36" si="0">AW6*65</f>
        <v>65</v>
      </c>
      <c r="AY6" s="8">
        <v>0</v>
      </c>
      <c r="AZ6" s="8">
        <v>0</v>
      </c>
      <c r="BA6" s="8">
        <v>1</v>
      </c>
      <c r="BB6" s="9">
        <v>0</v>
      </c>
      <c r="BC6" s="27">
        <v>0</v>
      </c>
      <c r="BD6">
        <v>1</v>
      </c>
      <c r="BE6">
        <v>1</v>
      </c>
      <c r="BF6">
        <v>0</v>
      </c>
    </row>
    <row r="7" spans="1:58" x14ac:dyDescent="0.25">
      <c r="A7" s="9" t="s">
        <v>216</v>
      </c>
      <c r="B7" s="9" t="s">
        <v>217</v>
      </c>
      <c r="C7" s="9" t="s">
        <v>60</v>
      </c>
      <c r="D7" s="9" t="s">
        <v>61</v>
      </c>
      <c r="E7" s="9" t="s">
        <v>216</v>
      </c>
      <c r="F7" s="9" t="s">
        <v>218</v>
      </c>
      <c r="G7" s="9" t="s">
        <v>216</v>
      </c>
      <c r="H7" s="9" t="s">
        <v>217</v>
      </c>
      <c r="I7" s="9" t="s">
        <v>219</v>
      </c>
      <c r="J7" s="28" t="s">
        <v>220</v>
      </c>
      <c r="K7" s="9">
        <v>13</v>
      </c>
      <c r="L7" s="9">
        <v>13</v>
      </c>
      <c r="M7" s="9">
        <v>253</v>
      </c>
      <c r="N7" s="9">
        <v>362</v>
      </c>
      <c r="O7" s="9">
        <v>162</v>
      </c>
      <c r="P7" s="9">
        <v>777</v>
      </c>
      <c r="Q7" s="26">
        <v>38</v>
      </c>
      <c r="R7" s="26">
        <v>57</v>
      </c>
      <c r="S7">
        <v>1</v>
      </c>
      <c r="T7">
        <v>0</v>
      </c>
      <c r="U7">
        <v>0</v>
      </c>
      <c r="V7">
        <v>1</v>
      </c>
      <c r="W7">
        <v>1</v>
      </c>
      <c r="X7">
        <v>1</v>
      </c>
      <c r="Y7"/>
      <c r="Z7">
        <v>1</v>
      </c>
      <c r="AA7">
        <v>1</v>
      </c>
      <c r="AB7">
        <v>0</v>
      </c>
      <c r="AC7">
        <v>0</v>
      </c>
      <c r="AD7">
        <v>0</v>
      </c>
      <c r="AE7">
        <v>0</v>
      </c>
      <c r="AF7">
        <v>5</v>
      </c>
      <c r="AG7" s="9">
        <v>28</v>
      </c>
      <c r="AH7" s="9">
        <v>17</v>
      </c>
      <c r="AI7" s="9">
        <v>10</v>
      </c>
      <c r="AJ7" s="9">
        <v>7</v>
      </c>
      <c r="AK7" s="9">
        <v>0</v>
      </c>
      <c r="AL7" s="9">
        <v>0</v>
      </c>
      <c r="AM7" s="9">
        <v>10</v>
      </c>
      <c r="AN7" s="9">
        <v>0</v>
      </c>
      <c r="AO7" s="9">
        <v>0</v>
      </c>
      <c r="AP7" s="9">
        <v>7</v>
      </c>
      <c r="AQ7" s="8">
        <v>7</v>
      </c>
      <c r="AR7" s="8">
        <v>15</v>
      </c>
      <c r="AS7" s="8">
        <v>7</v>
      </c>
      <c r="AT7">
        <v>1</v>
      </c>
      <c r="AU7">
        <v>3</v>
      </c>
      <c r="AV7">
        <v>135</v>
      </c>
      <c r="AW7">
        <v>1</v>
      </c>
      <c r="AX7">
        <f t="shared" si="0"/>
        <v>65</v>
      </c>
      <c r="AY7" s="8">
        <v>0</v>
      </c>
      <c r="AZ7" s="8">
        <v>0</v>
      </c>
      <c r="BA7" s="8">
        <v>0</v>
      </c>
      <c r="BB7" s="9">
        <v>0</v>
      </c>
      <c r="BC7" s="27">
        <v>0</v>
      </c>
      <c r="BD7">
        <v>1</v>
      </c>
      <c r="BE7">
        <v>1</v>
      </c>
      <c r="BF7">
        <v>0</v>
      </c>
    </row>
    <row r="8" spans="1:58" x14ac:dyDescent="0.25">
      <c r="A8" s="9" t="s">
        <v>216</v>
      </c>
      <c r="B8" s="9" t="s">
        <v>217</v>
      </c>
      <c r="C8" s="9" t="s">
        <v>60</v>
      </c>
      <c r="D8" s="9" t="s">
        <v>61</v>
      </c>
      <c r="E8" s="9" t="s">
        <v>216</v>
      </c>
      <c r="F8" s="9" t="s">
        <v>218</v>
      </c>
      <c r="G8" s="9" t="s">
        <v>216</v>
      </c>
      <c r="H8" s="9" t="s">
        <v>217</v>
      </c>
      <c r="I8" s="9" t="s">
        <v>328</v>
      </c>
      <c r="J8" s="28" t="s">
        <v>329</v>
      </c>
      <c r="K8" s="9">
        <v>6</v>
      </c>
      <c r="L8" s="9">
        <v>6</v>
      </c>
      <c r="M8" s="9">
        <v>164</v>
      </c>
      <c r="N8" s="9">
        <v>312</v>
      </c>
      <c r="O8" s="9">
        <v>246</v>
      </c>
      <c r="P8" s="9">
        <v>722</v>
      </c>
      <c r="Q8" s="26">
        <v>39</v>
      </c>
      <c r="R8" s="26">
        <v>59</v>
      </c>
      <c r="S8">
        <v>1</v>
      </c>
      <c r="T8">
        <v>0</v>
      </c>
      <c r="U8">
        <v>0</v>
      </c>
      <c r="V8">
        <v>1</v>
      </c>
      <c r="W8">
        <v>1</v>
      </c>
      <c r="X8">
        <v>1</v>
      </c>
      <c r="Y8"/>
      <c r="Z8">
        <v>1</v>
      </c>
      <c r="AA8">
        <v>1</v>
      </c>
      <c r="AB8">
        <v>0</v>
      </c>
      <c r="AC8">
        <v>1</v>
      </c>
      <c r="AD8">
        <v>0</v>
      </c>
      <c r="AE8">
        <v>0</v>
      </c>
      <c r="AF8">
        <v>5</v>
      </c>
      <c r="AG8" s="9">
        <v>15</v>
      </c>
      <c r="AH8" s="9">
        <v>9</v>
      </c>
      <c r="AI8" s="9">
        <v>7</v>
      </c>
      <c r="AJ8" s="9">
        <v>2</v>
      </c>
      <c r="AK8" s="9">
        <v>0</v>
      </c>
      <c r="AL8" s="9">
        <v>0</v>
      </c>
      <c r="AM8" s="9">
        <v>7</v>
      </c>
      <c r="AN8" s="9">
        <v>0</v>
      </c>
      <c r="AO8" s="9">
        <v>0</v>
      </c>
      <c r="AP8" s="9">
        <v>2</v>
      </c>
      <c r="AQ8" s="8">
        <v>2</v>
      </c>
      <c r="AR8" s="8">
        <v>6</v>
      </c>
      <c r="AS8" s="8">
        <v>2</v>
      </c>
      <c r="AT8">
        <v>1</v>
      </c>
      <c r="AU8">
        <v>3</v>
      </c>
      <c r="AV8">
        <v>135</v>
      </c>
      <c r="AW8">
        <v>1</v>
      </c>
      <c r="AX8">
        <f t="shared" si="0"/>
        <v>65</v>
      </c>
      <c r="AY8" s="8">
        <v>0</v>
      </c>
      <c r="AZ8" s="8">
        <v>0</v>
      </c>
      <c r="BA8" s="8">
        <v>1</v>
      </c>
      <c r="BB8" s="9">
        <v>0</v>
      </c>
      <c r="BC8" s="27">
        <v>0</v>
      </c>
      <c r="BD8">
        <v>1</v>
      </c>
      <c r="BE8">
        <v>1</v>
      </c>
      <c r="BF8">
        <v>0</v>
      </c>
    </row>
    <row r="9" spans="1:58" x14ac:dyDescent="0.25">
      <c r="A9" s="9" t="s">
        <v>76</v>
      </c>
      <c r="B9" s="9" t="s">
        <v>77</v>
      </c>
      <c r="C9" s="9" t="s">
        <v>60</v>
      </c>
      <c r="D9" s="9" t="s">
        <v>61</v>
      </c>
      <c r="E9" s="9" t="s">
        <v>78</v>
      </c>
      <c r="F9" s="9" t="s">
        <v>79</v>
      </c>
      <c r="G9" s="9" t="s">
        <v>76</v>
      </c>
      <c r="H9" s="9" t="s">
        <v>77</v>
      </c>
      <c r="I9" s="9" t="s">
        <v>308</v>
      </c>
      <c r="J9" s="28" t="s">
        <v>309</v>
      </c>
      <c r="K9" s="9">
        <v>16</v>
      </c>
      <c r="L9" s="9">
        <v>16</v>
      </c>
      <c r="M9" s="9">
        <v>283</v>
      </c>
      <c r="N9" s="9">
        <v>447</v>
      </c>
      <c r="O9" s="9">
        <v>140</v>
      </c>
      <c r="P9" s="9">
        <v>870</v>
      </c>
      <c r="Q9" s="26">
        <v>39</v>
      </c>
      <c r="R9" s="26">
        <v>59</v>
      </c>
      <c r="S9">
        <v>1</v>
      </c>
      <c r="T9">
        <v>0</v>
      </c>
      <c r="U9">
        <v>0</v>
      </c>
      <c r="V9">
        <v>1</v>
      </c>
      <c r="W9">
        <v>1</v>
      </c>
      <c r="X9">
        <v>1</v>
      </c>
      <c r="Y9"/>
      <c r="Z9">
        <v>1</v>
      </c>
      <c r="AA9">
        <v>1</v>
      </c>
      <c r="AB9">
        <v>0</v>
      </c>
      <c r="AC9">
        <v>0</v>
      </c>
      <c r="AD9">
        <v>0</v>
      </c>
      <c r="AE9">
        <v>0</v>
      </c>
      <c r="AF9">
        <v>5</v>
      </c>
      <c r="AG9" s="9">
        <v>39</v>
      </c>
      <c r="AH9" s="9">
        <v>21</v>
      </c>
      <c r="AI9" s="9">
        <v>14</v>
      </c>
      <c r="AJ9" s="9">
        <v>7</v>
      </c>
      <c r="AK9" s="9">
        <v>3</v>
      </c>
      <c r="AL9" s="9">
        <v>0</v>
      </c>
      <c r="AM9" s="9">
        <v>11</v>
      </c>
      <c r="AN9" s="9">
        <v>2</v>
      </c>
      <c r="AO9" s="9">
        <v>0</v>
      </c>
      <c r="AP9" s="9">
        <v>5</v>
      </c>
      <c r="AQ9" s="8">
        <v>5</v>
      </c>
      <c r="AR9" s="8">
        <v>12</v>
      </c>
      <c r="AS9" s="8">
        <v>5</v>
      </c>
      <c r="AT9">
        <v>1</v>
      </c>
      <c r="AU9">
        <v>4</v>
      </c>
      <c r="AV9">
        <v>180</v>
      </c>
      <c r="AW9">
        <v>1</v>
      </c>
      <c r="AX9">
        <f t="shared" si="0"/>
        <v>65</v>
      </c>
      <c r="AY9" s="8">
        <v>0</v>
      </c>
      <c r="AZ9" s="8">
        <v>1</v>
      </c>
      <c r="BA9" s="8">
        <v>1</v>
      </c>
      <c r="BB9" s="9">
        <v>1</v>
      </c>
      <c r="BC9" s="27">
        <v>0</v>
      </c>
      <c r="BD9">
        <v>1</v>
      </c>
      <c r="BE9">
        <v>1</v>
      </c>
      <c r="BF9">
        <v>0</v>
      </c>
    </row>
    <row r="10" spans="1:58" x14ac:dyDescent="0.25">
      <c r="A10" s="9" t="s">
        <v>76</v>
      </c>
      <c r="B10" s="9" t="s">
        <v>77</v>
      </c>
      <c r="C10" s="9" t="s">
        <v>60</v>
      </c>
      <c r="D10" s="9" t="s">
        <v>61</v>
      </c>
      <c r="E10" s="9" t="s">
        <v>78</v>
      </c>
      <c r="F10" s="9" t="s">
        <v>79</v>
      </c>
      <c r="G10" s="9" t="s">
        <v>76</v>
      </c>
      <c r="H10" s="9" t="s">
        <v>77</v>
      </c>
      <c r="I10" s="9" t="s">
        <v>416</v>
      </c>
      <c r="J10" s="28" t="s">
        <v>417</v>
      </c>
      <c r="K10" s="9">
        <v>17</v>
      </c>
      <c r="L10" s="9">
        <v>17</v>
      </c>
      <c r="M10" s="9">
        <v>296</v>
      </c>
      <c r="N10" s="9">
        <v>395</v>
      </c>
      <c r="O10" s="9">
        <v>214</v>
      </c>
      <c r="P10" s="9">
        <v>905</v>
      </c>
      <c r="Q10" s="26">
        <v>39</v>
      </c>
      <c r="R10" s="26">
        <v>59</v>
      </c>
      <c r="S10">
        <v>1</v>
      </c>
      <c r="T10">
        <v>0</v>
      </c>
      <c r="U10">
        <v>0</v>
      </c>
      <c r="V10">
        <v>1</v>
      </c>
      <c r="W10">
        <v>1</v>
      </c>
      <c r="X10">
        <v>1</v>
      </c>
      <c r="Y10"/>
      <c r="Z10">
        <v>1</v>
      </c>
      <c r="AA10">
        <v>1</v>
      </c>
      <c r="AB10">
        <v>0</v>
      </c>
      <c r="AC10">
        <v>0</v>
      </c>
      <c r="AD10">
        <v>0</v>
      </c>
      <c r="AE10">
        <v>0</v>
      </c>
      <c r="AF10">
        <v>5</v>
      </c>
      <c r="AG10" s="9">
        <v>51</v>
      </c>
      <c r="AH10" s="9">
        <v>29</v>
      </c>
      <c r="AI10" s="9">
        <v>20</v>
      </c>
      <c r="AJ10" s="9">
        <v>8</v>
      </c>
      <c r="AK10" s="9">
        <v>4</v>
      </c>
      <c r="AL10" s="9">
        <v>0</v>
      </c>
      <c r="AM10" s="9">
        <v>16</v>
      </c>
      <c r="AN10" s="9">
        <v>1</v>
      </c>
      <c r="AO10" s="9">
        <v>0</v>
      </c>
      <c r="AP10" s="9">
        <v>7</v>
      </c>
      <c r="AQ10" s="8">
        <v>7</v>
      </c>
      <c r="AR10" s="8">
        <v>14</v>
      </c>
      <c r="AS10" s="8">
        <v>6</v>
      </c>
      <c r="AT10">
        <v>1</v>
      </c>
      <c r="AU10">
        <v>4</v>
      </c>
      <c r="AV10">
        <v>180</v>
      </c>
      <c r="AW10">
        <v>1</v>
      </c>
      <c r="AX10">
        <f t="shared" si="0"/>
        <v>65</v>
      </c>
      <c r="AY10" s="8">
        <v>0</v>
      </c>
      <c r="AZ10" s="8">
        <v>1</v>
      </c>
      <c r="BA10" s="8">
        <v>2</v>
      </c>
      <c r="BB10" s="9">
        <v>1</v>
      </c>
      <c r="BC10" s="27">
        <v>0</v>
      </c>
      <c r="BD10">
        <v>1</v>
      </c>
      <c r="BE10">
        <v>1</v>
      </c>
      <c r="BF10">
        <v>0</v>
      </c>
    </row>
    <row r="11" spans="1:58" x14ac:dyDescent="0.25">
      <c r="A11" s="8" t="s">
        <v>76</v>
      </c>
      <c r="B11" s="8" t="s">
        <v>77</v>
      </c>
      <c r="C11" s="8" t="s">
        <v>60</v>
      </c>
      <c r="D11" s="8" t="s">
        <v>61</v>
      </c>
      <c r="E11" s="8" t="s">
        <v>78</v>
      </c>
      <c r="F11" s="8" t="s">
        <v>79</v>
      </c>
      <c r="G11" s="8" t="s">
        <v>76</v>
      </c>
      <c r="H11" s="8" t="s">
        <v>77</v>
      </c>
      <c r="I11" s="8" t="s">
        <v>80</v>
      </c>
      <c r="J11" s="29" t="s">
        <v>81</v>
      </c>
      <c r="K11" s="8">
        <v>13</v>
      </c>
      <c r="L11" s="8">
        <v>13</v>
      </c>
      <c r="M11" s="8">
        <v>260</v>
      </c>
      <c r="N11" s="8">
        <v>439</v>
      </c>
      <c r="O11" s="8">
        <v>237</v>
      </c>
      <c r="P11" s="8">
        <v>936</v>
      </c>
      <c r="Q11" s="26">
        <v>39</v>
      </c>
      <c r="R11" s="26">
        <v>59</v>
      </c>
      <c r="S11">
        <v>1</v>
      </c>
      <c r="T11">
        <v>0</v>
      </c>
      <c r="U11">
        <v>0</v>
      </c>
      <c r="V11">
        <v>1</v>
      </c>
      <c r="W11">
        <v>1</v>
      </c>
      <c r="X11">
        <v>1</v>
      </c>
      <c r="Y11"/>
      <c r="Z11">
        <v>1</v>
      </c>
      <c r="AA11">
        <v>1</v>
      </c>
      <c r="AB11">
        <v>0</v>
      </c>
      <c r="AC11">
        <v>0</v>
      </c>
      <c r="AD11">
        <v>0</v>
      </c>
      <c r="AE11">
        <v>0</v>
      </c>
      <c r="AF11">
        <v>5</v>
      </c>
      <c r="AG11" s="8">
        <v>32</v>
      </c>
      <c r="AH11" s="8">
        <v>18</v>
      </c>
      <c r="AI11" s="8">
        <v>13</v>
      </c>
      <c r="AJ11" s="8">
        <v>5</v>
      </c>
      <c r="AK11" s="8">
        <v>1</v>
      </c>
      <c r="AL11" s="8">
        <v>0</v>
      </c>
      <c r="AM11" s="8">
        <v>12</v>
      </c>
      <c r="AN11" s="8">
        <v>1</v>
      </c>
      <c r="AO11" s="8">
        <v>0</v>
      </c>
      <c r="AP11" s="8">
        <v>4</v>
      </c>
      <c r="AQ11" s="8">
        <v>3</v>
      </c>
      <c r="AR11" s="8">
        <v>13</v>
      </c>
      <c r="AS11" s="8">
        <v>2</v>
      </c>
      <c r="AT11">
        <v>1</v>
      </c>
      <c r="AU11">
        <v>3</v>
      </c>
      <c r="AV11">
        <v>135</v>
      </c>
      <c r="AW11">
        <v>1</v>
      </c>
      <c r="AX11">
        <f t="shared" si="0"/>
        <v>65</v>
      </c>
      <c r="AY11" s="8">
        <v>0</v>
      </c>
      <c r="AZ11" s="8">
        <v>1</v>
      </c>
      <c r="BA11" s="8">
        <v>0</v>
      </c>
      <c r="BB11" s="8">
        <v>0</v>
      </c>
      <c r="BC11" s="27">
        <v>0</v>
      </c>
      <c r="BD11">
        <v>1</v>
      </c>
      <c r="BE11">
        <v>1</v>
      </c>
      <c r="BF11">
        <v>0</v>
      </c>
    </row>
    <row r="12" spans="1:58" x14ac:dyDescent="0.25">
      <c r="A12" s="9" t="s">
        <v>76</v>
      </c>
      <c r="B12" s="9" t="s">
        <v>77</v>
      </c>
      <c r="C12" s="9" t="s">
        <v>60</v>
      </c>
      <c r="D12" s="9" t="s">
        <v>61</v>
      </c>
      <c r="E12" s="9" t="s">
        <v>78</v>
      </c>
      <c r="F12" s="9" t="s">
        <v>79</v>
      </c>
      <c r="G12" s="9" t="s">
        <v>76</v>
      </c>
      <c r="H12" s="9" t="s">
        <v>77</v>
      </c>
      <c r="I12" s="9" t="s">
        <v>382</v>
      </c>
      <c r="J12" s="28" t="s">
        <v>383</v>
      </c>
      <c r="K12" s="9">
        <v>14</v>
      </c>
      <c r="L12" s="9">
        <v>14</v>
      </c>
      <c r="M12" s="9">
        <v>278</v>
      </c>
      <c r="N12" s="9">
        <v>377</v>
      </c>
      <c r="O12" s="9">
        <v>270</v>
      </c>
      <c r="P12" s="9">
        <v>925</v>
      </c>
      <c r="Q12" s="26">
        <v>39</v>
      </c>
      <c r="R12" s="26">
        <v>59</v>
      </c>
      <c r="S12">
        <v>1</v>
      </c>
      <c r="T12">
        <v>0</v>
      </c>
      <c r="U12">
        <v>0</v>
      </c>
      <c r="V12">
        <v>1</v>
      </c>
      <c r="W12">
        <v>1</v>
      </c>
      <c r="X12">
        <v>1</v>
      </c>
      <c r="Y12"/>
      <c r="Z12">
        <v>1</v>
      </c>
      <c r="AA12">
        <v>1</v>
      </c>
      <c r="AB12">
        <v>0</v>
      </c>
      <c r="AC12">
        <v>0</v>
      </c>
      <c r="AD12">
        <v>0</v>
      </c>
      <c r="AE12">
        <v>0</v>
      </c>
      <c r="AF12">
        <v>5</v>
      </c>
      <c r="AG12" s="9">
        <v>38</v>
      </c>
      <c r="AH12" s="9">
        <v>18</v>
      </c>
      <c r="AI12" s="9">
        <v>11</v>
      </c>
      <c r="AJ12" s="9">
        <v>7</v>
      </c>
      <c r="AK12" s="9">
        <v>0</v>
      </c>
      <c r="AL12" s="9">
        <v>0</v>
      </c>
      <c r="AM12" s="9">
        <v>11</v>
      </c>
      <c r="AN12" s="9">
        <v>0</v>
      </c>
      <c r="AO12" s="9">
        <v>0</v>
      </c>
      <c r="AP12" s="9">
        <v>7</v>
      </c>
      <c r="AQ12" s="8">
        <v>7</v>
      </c>
      <c r="AR12" s="8">
        <v>16</v>
      </c>
      <c r="AS12" s="8">
        <v>7</v>
      </c>
      <c r="AT12">
        <v>1</v>
      </c>
      <c r="AU12">
        <v>3</v>
      </c>
      <c r="AV12">
        <v>135</v>
      </c>
      <c r="AW12">
        <v>2</v>
      </c>
      <c r="AX12">
        <f t="shared" si="0"/>
        <v>130</v>
      </c>
      <c r="AY12" s="8">
        <v>0</v>
      </c>
      <c r="AZ12" s="8">
        <v>0</v>
      </c>
      <c r="BA12" s="8">
        <v>0</v>
      </c>
      <c r="BB12" s="9">
        <v>1</v>
      </c>
      <c r="BC12" s="27">
        <v>0</v>
      </c>
      <c r="BD12">
        <v>1</v>
      </c>
      <c r="BE12">
        <v>1</v>
      </c>
      <c r="BF12">
        <v>0</v>
      </c>
    </row>
    <row r="13" spans="1:58" x14ac:dyDescent="0.25">
      <c r="A13" s="9" t="s">
        <v>239</v>
      </c>
      <c r="B13" s="9" t="s">
        <v>240</v>
      </c>
      <c r="C13" s="9" t="s">
        <v>60</v>
      </c>
      <c r="D13" s="9" t="s">
        <v>61</v>
      </c>
      <c r="E13" s="9" t="s">
        <v>192</v>
      </c>
      <c r="F13" s="9" t="s">
        <v>194</v>
      </c>
      <c r="G13" s="9" t="s">
        <v>239</v>
      </c>
      <c r="H13" s="9" t="s">
        <v>240</v>
      </c>
      <c r="I13" s="9" t="s">
        <v>370</v>
      </c>
      <c r="J13" s="28" t="s">
        <v>371</v>
      </c>
      <c r="K13" s="9">
        <v>15</v>
      </c>
      <c r="L13" s="9">
        <v>15</v>
      </c>
      <c r="M13" s="9">
        <v>285</v>
      </c>
      <c r="N13" s="9">
        <v>432</v>
      </c>
      <c r="O13" s="9">
        <v>194</v>
      </c>
      <c r="P13" s="9">
        <v>911</v>
      </c>
      <c r="Q13" s="26">
        <v>39</v>
      </c>
      <c r="R13" s="26">
        <v>59</v>
      </c>
      <c r="S13">
        <v>1</v>
      </c>
      <c r="T13">
        <v>0</v>
      </c>
      <c r="U13">
        <v>0</v>
      </c>
      <c r="V13">
        <v>1</v>
      </c>
      <c r="W13">
        <v>1</v>
      </c>
      <c r="X13">
        <v>1</v>
      </c>
      <c r="Y13"/>
      <c r="Z13">
        <v>1</v>
      </c>
      <c r="AA13">
        <v>1</v>
      </c>
      <c r="AB13">
        <v>0</v>
      </c>
      <c r="AC13">
        <v>0</v>
      </c>
      <c r="AD13">
        <v>0</v>
      </c>
      <c r="AE13">
        <v>0</v>
      </c>
      <c r="AF13">
        <v>5</v>
      </c>
      <c r="AG13" s="9">
        <v>30</v>
      </c>
      <c r="AH13" s="9">
        <v>24</v>
      </c>
      <c r="AI13" s="9">
        <v>14</v>
      </c>
      <c r="AJ13" s="9">
        <v>10</v>
      </c>
      <c r="AK13" s="9">
        <v>2</v>
      </c>
      <c r="AL13" s="9">
        <v>0</v>
      </c>
      <c r="AM13" s="9">
        <v>12</v>
      </c>
      <c r="AN13" s="9">
        <v>1</v>
      </c>
      <c r="AO13" s="9">
        <v>2</v>
      </c>
      <c r="AP13" s="9">
        <v>7</v>
      </c>
      <c r="AQ13" s="8">
        <v>9</v>
      </c>
      <c r="AR13" s="8">
        <v>14</v>
      </c>
      <c r="AS13" s="8">
        <v>8</v>
      </c>
      <c r="AT13">
        <v>1</v>
      </c>
      <c r="AU13">
        <v>3</v>
      </c>
      <c r="AV13">
        <v>135</v>
      </c>
      <c r="AW13">
        <v>2</v>
      </c>
      <c r="AX13">
        <f t="shared" si="0"/>
        <v>130</v>
      </c>
      <c r="AY13" s="8">
        <v>0</v>
      </c>
      <c r="AZ13" s="8">
        <v>2</v>
      </c>
      <c r="BA13" s="8">
        <v>3</v>
      </c>
      <c r="BB13" s="9">
        <v>4</v>
      </c>
      <c r="BC13" s="27">
        <v>0</v>
      </c>
      <c r="BD13">
        <v>1</v>
      </c>
      <c r="BE13">
        <v>1</v>
      </c>
      <c r="BF13">
        <v>0</v>
      </c>
    </row>
    <row r="14" spans="1:58" x14ac:dyDescent="0.25">
      <c r="A14" s="9" t="s">
        <v>239</v>
      </c>
      <c r="B14" s="9" t="s">
        <v>240</v>
      </c>
      <c r="C14" s="9" t="s">
        <v>60</v>
      </c>
      <c r="D14" s="9" t="s">
        <v>61</v>
      </c>
      <c r="E14" s="9" t="s">
        <v>192</v>
      </c>
      <c r="F14" s="9" t="s">
        <v>194</v>
      </c>
      <c r="G14" s="9" t="s">
        <v>239</v>
      </c>
      <c r="H14" s="9" t="s">
        <v>240</v>
      </c>
      <c r="I14" s="9" t="s">
        <v>402</v>
      </c>
      <c r="J14" s="28" t="s">
        <v>403</v>
      </c>
      <c r="K14" s="9">
        <v>12</v>
      </c>
      <c r="L14" s="9">
        <v>12</v>
      </c>
      <c r="M14" s="9">
        <v>286</v>
      </c>
      <c r="N14" s="9">
        <v>404</v>
      </c>
      <c r="O14" s="9">
        <v>226</v>
      </c>
      <c r="P14" s="9">
        <v>916</v>
      </c>
      <c r="Q14" s="26">
        <v>39</v>
      </c>
      <c r="R14" s="26">
        <v>59</v>
      </c>
      <c r="S14">
        <v>1</v>
      </c>
      <c r="T14">
        <v>0</v>
      </c>
      <c r="U14">
        <v>0</v>
      </c>
      <c r="V14">
        <v>1</v>
      </c>
      <c r="W14">
        <v>1</v>
      </c>
      <c r="X14">
        <v>1</v>
      </c>
      <c r="Y14"/>
      <c r="Z14">
        <v>1</v>
      </c>
      <c r="AA14">
        <v>1</v>
      </c>
      <c r="AB14">
        <v>0</v>
      </c>
      <c r="AC14">
        <v>0</v>
      </c>
      <c r="AD14">
        <v>0</v>
      </c>
      <c r="AE14">
        <v>0</v>
      </c>
      <c r="AF14">
        <v>5</v>
      </c>
      <c r="AG14" s="9">
        <v>26</v>
      </c>
      <c r="AH14" s="9">
        <v>16</v>
      </c>
      <c r="AI14" s="9">
        <v>7</v>
      </c>
      <c r="AJ14" s="9">
        <v>8</v>
      </c>
      <c r="AK14" s="9">
        <v>0</v>
      </c>
      <c r="AL14" s="9">
        <v>0</v>
      </c>
      <c r="AM14" s="9">
        <v>7</v>
      </c>
      <c r="AN14" s="9">
        <v>0</v>
      </c>
      <c r="AO14" s="9">
        <v>0</v>
      </c>
      <c r="AP14" s="9">
        <v>8</v>
      </c>
      <c r="AQ14" s="8">
        <v>7</v>
      </c>
      <c r="AR14" s="8">
        <v>11</v>
      </c>
      <c r="AS14" s="8">
        <v>7</v>
      </c>
      <c r="AT14">
        <v>1</v>
      </c>
      <c r="AU14">
        <v>3</v>
      </c>
      <c r="AV14">
        <v>135</v>
      </c>
      <c r="AW14">
        <v>2</v>
      </c>
      <c r="AX14">
        <f t="shared" si="0"/>
        <v>130</v>
      </c>
      <c r="AY14" s="8">
        <v>0</v>
      </c>
      <c r="AZ14" s="8">
        <v>0</v>
      </c>
      <c r="BA14" s="8">
        <v>3</v>
      </c>
      <c r="BB14" s="9">
        <v>0</v>
      </c>
      <c r="BC14" s="27">
        <v>0</v>
      </c>
      <c r="BD14">
        <v>1</v>
      </c>
      <c r="BE14">
        <v>1</v>
      </c>
      <c r="BF14">
        <v>0</v>
      </c>
    </row>
    <row r="15" spans="1:58" x14ac:dyDescent="0.25">
      <c r="A15" s="9" t="s">
        <v>239</v>
      </c>
      <c r="B15" s="9" t="s">
        <v>240</v>
      </c>
      <c r="C15" s="9" t="s">
        <v>60</v>
      </c>
      <c r="D15" s="9" t="s">
        <v>61</v>
      </c>
      <c r="E15" s="9" t="s">
        <v>192</v>
      </c>
      <c r="F15" s="9" t="s">
        <v>194</v>
      </c>
      <c r="G15" s="9" t="s">
        <v>239</v>
      </c>
      <c r="H15" s="9" t="s">
        <v>240</v>
      </c>
      <c r="I15" s="9" t="s">
        <v>241</v>
      </c>
      <c r="J15" s="28" t="s">
        <v>242</v>
      </c>
      <c r="K15" s="9">
        <v>16</v>
      </c>
      <c r="L15" s="9">
        <v>16</v>
      </c>
      <c r="M15" s="9">
        <v>331</v>
      </c>
      <c r="N15" s="9">
        <v>431</v>
      </c>
      <c r="O15" s="9">
        <v>236</v>
      </c>
      <c r="P15" s="9">
        <v>998</v>
      </c>
      <c r="Q15" s="26">
        <v>39</v>
      </c>
      <c r="R15" s="26">
        <v>59</v>
      </c>
      <c r="S15">
        <v>1</v>
      </c>
      <c r="T15">
        <v>0</v>
      </c>
      <c r="U15">
        <v>0</v>
      </c>
      <c r="V15">
        <v>1</v>
      </c>
      <c r="W15">
        <v>1</v>
      </c>
      <c r="X15">
        <v>1</v>
      </c>
      <c r="Y15"/>
      <c r="Z15">
        <v>1</v>
      </c>
      <c r="AA15">
        <v>1</v>
      </c>
      <c r="AB15">
        <v>0</v>
      </c>
      <c r="AC15">
        <v>0</v>
      </c>
      <c r="AD15">
        <v>0</v>
      </c>
      <c r="AE15">
        <v>0</v>
      </c>
      <c r="AF15">
        <v>5</v>
      </c>
      <c r="AG15" s="9">
        <v>32</v>
      </c>
      <c r="AH15" s="9">
        <v>21</v>
      </c>
      <c r="AI15" s="9">
        <v>18</v>
      </c>
      <c r="AJ15" s="9">
        <v>3</v>
      </c>
      <c r="AK15" s="9">
        <v>0</v>
      </c>
      <c r="AL15" s="9">
        <v>1</v>
      </c>
      <c r="AM15" s="9">
        <v>17</v>
      </c>
      <c r="AN15" s="9">
        <v>0</v>
      </c>
      <c r="AO15" s="9">
        <v>3</v>
      </c>
      <c r="AP15" s="9">
        <v>0</v>
      </c>
      <c r="AQ15" s="8">
        <v>3</v>
      </c>
      <c r="AR15" s="8">
        <v>17</v>
      </c>
      <c r="AS15" s="8">
        <v>3</v>
      </c>
      <c r="AT15">
        <v>1</v>
      </c>
      <c r="AU15">
        <v>3</v>
      </c>
      <c r="AV15">
        <v>135</v>
      </c>
      <c r="AW15">
        <v>1</v>
      </c>
      <c r="AX15">
        <f t="shared" si="0"/>
        <v>65</v>
      </c>
      <c r="AY15" s="8">
        <v>0</v>
      </c>
      <c r="AZ15" s="8">
        <v>0</v>
      </c>
      <c r="BA15" s="8">
        <v>3</v>
      </c>
      <c r="BB15" s="9">
        <v>3</v>
      </c>
      <c r="BC15" s="27">
        <v>0</v>
      </c>
      <c r="BD15">
        <v>1</v>
      </c>
      <c r="BE15">
        <v>1</v>
      </c>
      <c r="BF15">
        <v>0</v>
      </c>
    </row>
    <row r="16" spans="1:58" x14ac:dyDescent="0.25">
      <c r="A16" s="9" t="s">
        <v>199</v>
      </c>
      <c r="B16" s="9" t="s">
        <v>269</v>
      </c>
      <c r="C16" s="9" t="s">
        <v>60</v>
      </c>
      <c r="D16" s="9" t="s">
        <v>61</v>
      </c>
      <c r="E16" s="9" t="s">
        <v>199</v>
      </c>
      <c r="F16" s="9" t="s">
        <v>200</v>
      </c>
      <c r="G16" s="9" t="s">
        <v>199</v>
      </c>
      <c r="H16" s="9" t="s">
        <v>269</v>
      </c>
      <c r="I16" s="9" t="s">
        <v>270</v>
      </c>
      <c r="J16" s="28" t="s">
        <v>271</v>
      </c>
      <c r="K16" s="9">
        <v>14</v>
      </c>
      <c r="L16" s="9">
        <v>14</v>
      </c>
      <c r="M16" s="9">
        <v>268</v>
      </c>
      <c r="N16" s="9">
        <v>258</v>
      </c>
      <c r="O16" s="9">
        <v>192</v>
      </c>
      <c r="P16" s="9">
        <v>718</v>
      </c>
      <c r="Q16" s="26">
        <v>34</v>
      </c>
      <c r="R16" s="26">
        <v>51</v>
      </c>
      <c r="S16">
        <v>1</v>
      </c>
      <c r="T16">
        <v>0</v>
      </c>
      <c r="U16">
        <v>0</v>
      </c>
      <c r="V16">
        <v>1</v>
      </c>
      <c r="W16">
        <v>1</v>
      </c>
      <c r="X16">
        <v>1</v>
      </c>
      <c r="Y16"/>
      <c r="Z16">
        <v>1</v>
      </c>
      <c r="AA16">
        <v>1</v>
      </c>
      <c r="AB16">
        <v>0</v>
      </c>
      <c r="AC16">
        <v>0</v>
      </c>
      <c r="AD16">
        <v>0</v>
      </c>
      <c r="AE16">
        <v>0</v>
      </c>
      <c r="AF16">
        <v>5</v>
      </c>
      <c r="AG16" s="9">
        <v>35</v>
      </c>
      <c r="AH16" s="9">
        <v>22</v>
      </c>
      <c r="AI16" s="9">
        <v>16</v>
      </c>
      <c r="AJ16" s="9">
        <v>6</v>
      </c>
      <c r="AK16" s="9">
        <v>1</v>
      </c>
      <c r="AL16" s="9">
        <v>0</v>
      </c>
      <c r="AM16" s="9">
        <v>15</v>
      </c>
      <c r="AN16" s="9">
        <v>2</v>
      </c>
      <c r="AO16" s="9">
        <v>0</v>
      </c>
      <c r="AP16" s="9">
        <v>4</v>
      </c>
      <c r="AQ16" s="8">
        <v>4</v>
      </c>
      <c r="AR16" s="8">
        <v>15</v>
      </c>
      <c r="AS16" s="8">
        <v>4</v>
      </c>
      <c r="AT16">
        <v>1</v>
      </c>
      <c r="AU16">
        <v>3</v>
      </c>
      <c r="AV16">
        <v>135</v>
      </c>
      <c r="AW16">
        <v>2</v>
      </c>
      <c r="AX16">
        <f t="shared" si="0"/>
        <v>130</v>
      </c>
      <c r="AY16" s="8">
        <v>0</v>
      </c>
      <c r="AZ16" s="8">
        <v>0</v>
      </c>
      <c r="BA16" s="8">
        <v>0</v>
      </c>
      <c r="BB16" s="9">
        <v>0</v>
      </c>
      <c r="BC16" s="27">
        <v>0</v>
      </c>
      <c r="BD16">
        <v>1</v>
      </c>
      <c r="BE16">
        <v>1</v>
      </c>
      <c r="BF16">
        <v>0</v>
      </c>
    </row>
    <row r="17" spans="1:58" x14ac:dyDescent="0.25">
      <c r="A17" s="9" t="s">
        <v>199</v>
      </c>
      <c r="B17" s="9" t="s">
        <v>269</v>
      </c>
      <c r="C17" s="9" t="s">
        <v>60</v>
      </c>
      <c r="D17" s="9" t="s">
        <v>61</v>
      </c>
      <c r="E17" s="9" t="s">
        <v>199</v>
      </c>
      <c r="F17" s="9" t="s">
        <v>200</v>
      </c>
      <c r="G17" s="9" t="s">
        <v>199</v>
      </c>
      <c r="H17" s="9" t="s">
        <v>269</v>
      </c>
      <c r="I17" s="9" t="s">
        <v>360</v>
      </c>
      <c r="J17" s="28" t="s">
        <v>361</v>
      </c>
      <c r="K17" s="9">
        <v>13</v>
      </c>
      <c r="L17" s="9">
        <v>13</v>
      </c>
      <c r="M17" s="9">
        <v>224</v>
      </c>
      <c r="N17" s="9">
        <v>269</v>
      </c>
      <c r="O17" s="9">
        <v>196</v>
      </c>
      <c r="P17" s="9">
        <v>689</v>
      </c>
      <c r="Q17" s="26">
        <v>34</v>
      </c>
      <c r="R17" s="26">
        <v>51</v>
      </c>
      <c r="S17">
        <v>1</v>
      </c>
      <c r="T17">
        <v>0</v>
      </c>
      <c r="U17">
        <v>0</v>
      </c>
      <c r="V17">
        <v>1</v>
      </c>
      <c r="W17">
        <v>1</v>
      </c>
      <c r="X17">
        <v>1</v>
      </c>
      <c r="Y17"/>
      <c r="Z17">
        <v>1</v>
      </c>
      <c r="AA17">
        <v>1</v>
      </c>
      <c r="AB17">
        <v>0</v>
      </c>
      <c r="AC17">
        <v>0</v>
      </c>
      <c r="AD17">
        <v>0</v>
      </c>
      <c r="AE17">
        <v>0</v>
      </c>
      <c r="AF17">
        <v>5</v>
      </c>
      <c r="AG17" s="9">
        <v>40</v>
      </c>
      <c r="AH17" s="9">
        <v>19</v>
      </c>
      <c r="AI17" s="9">
        <v>12</v>
      </c>
      <c r="AJ17" s="9">
        <v>7</v>
      </c>
      <c r="AK17" s="9">
        <v>2</v>
      </c>
      <c r="AL17" s="9">
        <v>0</v>
      </c>
      <c r="AM17" s="9">
        <v>10</v>
      </c>
      <c r="AN17" s="9">
        <v>1</v>
      </c>
      <c r="AO17" s="9">
        <v>1</v>
      </c>
      <c r="AP17" s="9">
        <v>5</v>
      </c>
      <c r="AQ17" s="8">
        <v>6</v>
      </c>
      <c r="AR17" s="8">
        <v>11</v>
      </c>
      <c r="AS17" s="8">
        <v>6</v>
      </c>
      <c r="AT17">
        <v>1</v>
      </c>
      <c r="AU17">
        <v>3</v>
      </c>
      <c r="AV17">
        <v>135</v>
      </c>
      <c r="AW17">
        <v>1</v>
      </c>
      <c r="AX17">
        <f t="shared" si="0"/>
        <v>65</v>
      </c>
      <c r="AY17" s="8">
        <v>0</v>
      </c>
      <c r="AZ17" s="8">
        <v>0</v>
      </c>
      <c r="BA17" s="8">
        <v>2</v>
      </c>
      <c r="BB17" s="9">
        <v>1</v>
      </c>
      <c r="BC17" s="27">
        <v>0</v>
      </c>
      <c r="BD17">
        <v>1</v>
      </c>
      <c r="BE17">
        <v>1</v>
      </c>
      <c r="BF17">
        <v>0</v>
      </c>
    </row>
    <row r="18" spans="1:58" x14ac:dyDescent="0.25">
      <c r="A18" s="9" t="s">
        <v>199</v>
      </c>
      <c r="B18" s="9" t="s">
        <v>269</v>
      </c>
      <c r="C18" s="9" t="s">
        <v>60</v>
      </c>
      <c r="D18" s="9" t="s">
        <v>61</v>
      </c>
      <c r="E18" s="9" t="s">
        <v>199</v>
      </c>
      <c r="F18" s="9" t="s">
        <v>200</v>
      </c>
      <c r="G18" s="9" t="s">
        <v>199</v>
      </c>
      <c r="H18" s="9" t="s">
        <v>269</v>
      </c>
      <c r="I18" s="9" t="s">
        <v>284</v>
      </c>
      <c r="J18" s="28" t="s">
        <v>285</v>
      </c>
      <c r="K18" s="9">
        <v>13</v>
      </c>
      <c r="L18" s="9">
        <v>13</v>
      </c>
      <c r="M18" s="9">
        <v>243</v>
      </c>
      <c r="N18" s="9">
        <v>224</v>
      </c>
      <c r="O18" s="9">
        <v>192</v>
      </c>
      <c r="P18" s="9">
        <v>659</v>
      </c>
      <c r="Q18" s="26">
        <v>32</v>
      </c>
      <c r="R18" s="26">
        <v>48</v>
      </c>
      <c r="S18">
        <v>1</v>
      </c>
      <c r="T18">
        <v>0</v>
      </c>
      <c r="U18">
        <v>0</v>
      </c>
      <c r="V18">
        <v>1</v>
      </c>
      <c r="W18">
        <v>1</v>
      </c>
      <c r="X18">
        <v>1</v>
      </c>
      <c r="Y18"/>
      <c r="Z18">
        <v>1</v>
      </c>
      <c r="AA18">
        <v>1</v>
      </c>
      <c r="AB18">
        <v>0</v>
      </c>
      <c r="AC18">
        <v>0</v>
      </c>
      <c r="AD18">
        <v>0</v>
      </c>
      <c r="AE18">
        <v>0</v>
      </c>
      <c r="AF18">
        <v>5</v>
      </c>
      <c r="AG18" s="9">
        <v>41</v>
      </c>
      <c r="AH18" s="9">
        <v>19</v>
      </c>
      <c r="AI18" s="9">
        <v>10</v>
      </c>
      <c r="AJ18" s="9">
        <v>9</v>
      </c>
      <c r="AK18" s="9">
        <v>0</v>
      </c>
      <c r="AL18" s="9">
        <v>0</v>
      </c>
      <c r="AM18" s="9">
        <v>10</v>
      </c>
      <c r="AN18" s="9">
        <v>2</v>
      </c>
      <c r="AO18" s="9">
        <v>0</v>
      </c>
      <c r="AP18" s="9">
        <v>7</v>
      </c>
      <c r="AQ18" s="8">
        <v>7</v>
      </c>
      <c r="AR18" s="8">
        <v>13</v>
      </c>
      <c r="AS18" s="8">
        <v>6</v>
      </c>
      <c r="AT18">
        <v>1</v>
      </c>
      <c r="AU18">
        <v>4</v>
      </c>
      <c r="AV18">
        <v>180</v>
      </c>
      <c r="AW18">
        <v>1</v>
      </c>
      <c r="AX18">
        <f t="shared" si="0"/>
        <v>65</v>
      </c>
      <c r="AY18" s="8">
        <v>0</v>
      </c>
      <c r="AZ18" s="8">
        <v>1</v>
      </c>
      <c r="BA18" s="8">
        <v>1</v>
      </c>
      <c r="BB18" s="9">
        <v>0</v>
      </c>
      <c r="BC18" s="27">
        <v>0</v>
      </c>
      <c r="BD18">
        <v>1</v>
      </c>
      <c r="BE18">
        <v>1</v>
      </c>
      <c r="BF18">
        <v>0</v>
      </c>
    </row>
    <row r="19" spans="1:58" x14ac:dyDescent="0.25">
      <c r="A19" s="9" t="s">
        <v>199</v>
      </c>
      <c r="B19" s="9" t="s">
        <v>269</v>
      </c>
      <c r="C19" s="9" t="s">
        <v>60</v>
      </c>
      <c r="D19" s="9" t="s">
        <v>61</v>
      </c>
      <c r="E19" s="9" t="s">
        <v>199</v>
      </c>
      <c r="F19" s="9" t="s">
        <v>200</v>
      </c>
      <c r="G19" s="9" t="s">
        <v>199</v>
      </c>
      <c r="H19" s="9" t="s">
        <v>269</v>
      </c>
      <c r="I19" s="9" t="s">
        <v>346</v>
      </c>
      <c r="J19" s="28" t="s">
        <v>347</v>
      </c>
      <c r="K19" s="9">
        <v>13</v>
      </c>
      <c r="L19" s="9">
        <v>13</v>
      </c>
      <c r="M19" s="9">
        <v>284</v>
      </c>
      <c r="N19" s="9">
        <v>262</v>
      </c>
      <c r="O19" s="9">
        <v>200</v>
      </c>
      <c r="P19" s="9">
        <v>746</v>
      </c>
      <c r="Q19" s="26">
        <v>34</v>
      </c>
      <c r="R19" s="26">
        <v>51</v>
      </c>
      <c r="S19">
        <v>1</v>
      </c>
      <c r="T19">
        <v>0</v>
      </c>
      <c r="U19">
        <v>0</v>
      </c>
      <c r="V19">
        <v>1</v>
      </c>
      <c r="W19">
        <v>1</v>
      </c>
      <c r="X19">
        <v>1</v>
      </c>
      <c r="Y19"/>
      <c r="Z19">
        <v>1</v>
      </c>
      <c r="AA19">
        <v>1</v>
      </c>
      <c r="AB19">
        <v>0</v>
      </c>
      <c r="AC19">
        <v>0</v>
      </c>
      <c r="AD19">
        <v>0</v>
      </c>
      <c r="AE19">
        <v>0</v>
      </c>
      <c r="AF19">
        <v>5</v>
      </c>
      <c r="AG19" s="9">
        <v>30</v>
      </c>
      <c r="AH19" s="9">
        <v>17</v>
      </c>
      <c r="AI19" s="9">
        <v>11</v>
      </c>
      <c r="AJ19" s="9">
        <v>5</v>
      </c>
      <c r="AK19" s="9">
        <v>4</v>
      </c>
      <c r="AL19" s="9">
        <v>0</v>
      </c>
      <c r="AM19" s="9">
        <v>7</v>
      </c>
      <c r="AN19" s="9">
        <v>0</v>
      </c>
      <c r="AO19" s="9">
        <v>0</v>
      </c>
      <c r="AP19" s="9">
        <v>5</v>
      </c>
      <c r="AQ19" s="8">
        <v>5</v>
      </c>
      <c r="AR19" s="8">
        <v>9</v>
      </c>
      <c r="AS19" s="8">
        <v>5</v>
      </c>
      <c r="AT19">
        <v>1</v>
      </c>
      <c r="AU19">
        <v>3</v>
      </c>
      <c r="AV19">
        <v>135</v>
      </c>
      <c r="AW19">
        <v>1</v>
      </c>
      <c r="AX19">
        <f t="shared" si="0"/>
        <v>65</v>
      </c>
      <c r="AY19" s="8">
        <v>0</v>
      </c>
      <c r="AZ19" s="8">
        <v>0</v>
      </c>
      <c r="BA19" s="8">
        <v>0</v>
      </c>
      <c r="BB19" s="9">
        <v>1</v>
      </c>
      <c r="BC19" s="27">
        <v>0</v>
      </c>
      <c r="BD19">
        <v>1</v>
      </c>
      <c r="BE19">
        <v>1</v>
      </c>
      <c r="BF19">
        <v>0</v>
      </c>
    </row>
    <row r="20" spans="1:58" x14ac:dyDescent="0.25">
      <c r="A20" s="9" t="s">
        <v>78</v>
      </c>
      <c r="B20" s="9" t="s">
        <v>157</v>
      </c>
      <c r="C20" s="9" t="s">
        <v>60</v>
      </c>
      <c r="D20" s="9" t="s">
        <v>61</v>
      </c>
      <c r="E20" s="9" t="s">
        <v>78</v>
      </c>
      <c r="F20" s="9" t="s">
        <v>79</v>
      </c>
      <c r="G20" s="9" t="s">
        <v>78</v>
      </c>
      <c r="H20" s="9" t="s">
        <v>157</v>
      </c>
      <c r="I20" s="9" t="s">
        <v>316</v>
      </c>
      <c r="J20" s="28" t="s">
        <v>317</v>
      </c>
      <c r="K20" s="9">
        <v>13</v>
      </c>
      <c r="L20" s="9">
        <v>13</v>
      </c>
      <c r="M20" s="9">
        <v>255</v>
      </c>
      <c r="N20" s="9">
        <v>461</v>
      </c>
      <c r="O20" s="9">
        <v>211</v>
      </c>
      <c r="P20" s="9">
        <v>927</v>
      </c>
      <c r="Q20" s="26">
        <v>39</v>
      </c>
      <c r="R20" s="26">
        <v>59</v>
      </c>
      <c r="S20">
        <v>1</v>
      </c>
      <c r="T20">
        <v>0</v>
      </c>
      <c r="U20">
        <v>0</v>
      </c>
      <c r="V20">
        <v>1</v>
      </c>
      <c r="W20">
        <v>1</v>
      </c>
      <c r="X20">
        <v>1</v>
      </c>
      <c r="Y20"/>
      <c r="Z20">
        <v>1</v>
      </c>
      <c r="AA20">
        <v>1</v>
      </c>
      <c r="AB20">
        <v>0</v>
      </c>
      <c r="AC20">
        <v>0</v>
      </c>
      <c r="AD20">
        <v>0</v>
      </c>
      <c r="AE20">
        <v>0</v>
      </c>
      <c r="AF20">
        <v>5</v>
      </c>
      <c r="AG20" s="9">
        <v>18</v>
      </c>
      <c r="AH20" s="9">
        <v>18</v>
      </c>
      <c r="AI20" s="9">
        <v>10</v>
      </c>
      <c r="AJ20" s="9">
        <v>8</v>
      </c>
      <c r="AK20" s="9">
        <v>2</v>
      </c>
      <c r="AL20" s="9">
        <v>0</v>
      </c>
      <c r="AM20" s="9">
        <v>8</v>
      </c>
      <c r="AN20" s="9">
        <v>1</v>
      </c>
      <c r="AO20" s="9">
        <v>1</v>
      </c>
      <c r="AP20" s="9">
        <v>6</v>
      </c>
      <c r="AQ20" s="8">
        <v>7</v>
      </c>
      <c r="AR20" s="8">
        <v>12</v>
      </c>
      <c r="AS20" s="8">
        <v>5</v>
      </c>
      <c r="AT20">
        <v>1</v>
      </c>
      <c r="AU20">
        <v>3</v>
      </c>
      <c r="AV20">
        <v>135</v>
      </c>
      <c r="AW20">
        <v>2</v>
      </c>
      <c r="AX20">
        <f t="shared" si="0"/>
        <v>130</v>
      </c>
      <c r="AY20" s="8">
        <v>0</v>
      </c>
      <c r="AZ20" s="8">
        <v>0</v>
      </c>
      <c r="BA20" s="8">
        <v>1</v>
      </c>
      <c r="BB20" s="9">
        <v>0</v>
      </c>
      <c r="BC20" s="27">
        <v>0</v>
      </c>
      <c r="BD20">
        <v>1</v>
      </c>
      <c r="BE20">
        <v>1</v>
      </c>
      <c r="BF20">
        <v>0</v>
      </c>
    </row>
    <row r="21" spans="1:58" x14ac:dyDescent="0.25">
      <c r="A21" s="9" t="s">
        <v>78</v>
      </c>
      <c r="B21" s="9" t="s">
        <v>157</v>
      </c>
      <c r="C21" s="9" t="s">
        <v>60</v>
      </c>
      <c r="D21" s="9" t="s">
        <v>61</v>
      </c>
      <c r="E21" s="9" t="s">
        <v>78</v>
      </c>
      <c r="F21" s="9" t="s">
        <v>79</v>
      </c>
      <c r="G21" s="9" t="s">
        <v>78</v>
      </c>
      <c r="H21" s="9" t="s">
        <v>157</v>
      </c>
      <c r="I21" s="9" t="s">
        <v>225</v>
      </c>
      <c r="J21" s="28" t="s">
        <v>226</v>
      </c>
      <c r="K21" s="9">
        <v>16</v>
      </c>
      <c r="L21" s="9">
        <v>15</v>
      </c>
      <c r="M21" s="9">
        <v>277</v>
      </c>
      <c r="N21" s="9">
        <v>370</v>
      </c>
      <c r="O21" s="9">
        <v>184</v>
      </c>
      <c r="P21" s="9">
        <v>831</v>
      </c>
      <c r="Q21" s="26">
        <v>39</v>
      </c>
      <c r="R21" s="26">
        <v>59</v>
      </c>
      <c r="S21">
        <v>1</v>
      </c>
      <c r="T21">
        <v>0</v>
      </c>
      <c r="U21">
        <v>0</v>
      </c>
      <c r="V21">
        <v>1</v>
      </c>
      <c r="W21">
        <v>1</v>
      </c>
      <c r="X21">
        <v>1</v>
      </c>
      <c r="Y21"/>
      <c r="Z21">
        <v>1</v>
      </c>
      <c r="AA21">
        <v>1</v>
      </c>
      <c r="AB21">
        <v>0</v>
      </c>
      <c r="AC21">
        <v>0</v>
      </c>
      <c r="AD21">
        <v>0</v>
      </c>
      <c r="AE21">
        <v>0</v>
      </c>
      <c r="AF21">
        <v>5</v>
      </c>
      <c r="AG21" s="9">
        <v>30</v>
      </c>
      <c r="AH21" s="9">
        <v>22</v>
      </c>
      <c r="AI21" s="9">
        <v>13</v>
      </c>
      <c r="AJ21" s="9">
        <v>9</v>
      </c>
      <c r="AK21" s="9">
        <v>2</v>
      </c>
      <c r="AL21" s="9">
        <v>0</v>
      </c>
      <c r="AM21" s="9">
        <v>11</v>
      </c>
      <c r="AN21" s="9">
        <v>0</v>
      </c>
      <c r="AO21" s="9">
        <v>1</v>
      </c>
      <c r="AP21" s="9">
        <v>8</v>
      </c>
      <c r="AQ21" s="8">
        <v>9</v>
      </c>
      <c r="AR21" s="8">
        <v>14</v>
      </c>
      <c r="AS21" s="8">
        <v>7</v>
      </c>
      <c r="AT21">
        <v>1</v>
      </c>
      <c r="AU21">
        <v>4</v>
      </c>
      <c r="AV21">
        <v>180</v>
      </c>
      <c r="AW21">
        <v>1</v>
      </c>
      <c r="AX21">
        <f t="shared" si="0"/>
        <v>65</v>
      </c>
      <c r="AY21" s="8">
        <v>0</v>
      </c>
      <c r="AZ21" s="8">
        <v>1</v>
      </c>
      <c r="BA21" s="8">
        <v>0</v>
      </c>
      <c r="BB21" s="9">
        <v>2</v>
      </c>
      <c r="BC21" s="27">
        <v>0</v>
      </c>
      <c r="BD21">
        <v>1</v>
      </c>
      <c r="BE21">
        <v>1</v>
      </c>
      <c r="BF21">
        <v>0</v>
      </c>
    </row>
    <row r="22" spans="1:58" x14ac:dyDescent="0.25">
      <c r="A22" s="9" t="s">
        <v>78</v>
      </c>
      <c r="B22" s="9" t="s">
        <v>157</v>
      </c>
      <c r="C22" s="9" t="s">
        <v>60</v>
      </c>
      <c r="D22" s="9" t="s">
        <v>61</v>
      </c>
      <c r="E22" s="9" t="s">
        <v>78</v>
      </c>
      <c r="F22" s="9" t="s">
        <v>79</v>
      </c>
      <c r="G22" s="9" t="s">
        <v>78</v>
      </c>
      <c r="H22" s="9" t="s">
        <v>157</v>
      </c>
      <c r="I22" s="9" t="s">
        <v>158</v>
      </c>
      <c r="J22" s="28" t="s">
        <v>159</v>
      </c>
      <c r="K22" s="9">
        <v>12</v>
      </c>
      <c r="L22" s="9">
        <v>12</v>
      </c>
      <c r="M22" s="9">
        <v>230</v>
      </c>
      <c r="N22" s="9">
        <v>447</v>
      </c>
      <c r="O22" s="9">
        <v>248</v>
      </c>
      <c r="P22" s="9">
        <v>925</v>
      </c>
      <c r="Q22" s="26">
        <v>39</v>
      </c>
      <c r="R22" s="26">
        <v>59</v>
      </c>
      <c r="S22">
        <v>1</v>
      </c>
      <c r="T22">
        <v>0</v>
      </c>
      <c r="U22">
        <v>0</v>
      </c>
      <c r="V22">
        <v>1</v>
      </c>
      <c r="W22">
        <v>1</v>
      </c>
      <c r="X22">
        <v>1</v>
      </c>
      <c r="Y22"/>
      <c r="Z22">
        <v>1</v>
      </c>
      <c r="AA22">
        <v>1</v>
      </c>
      <c r="AB22">
        <v>0</v>
      </c>
      <c r="AC22">
        <v>0</v>
      </c>
      <c r="AD22">
        <v>0</v>
      </c>
      <c r="AE22">
        <v>0</v>
      </c>
      <c r="AF22">
        <v>5</v>
      </c>
      <c r="AG22" s="9">
        <v>25</v>
      </c>
      <c r="AH22" s="9">
        <v>19</v>
      </c>
      <c r="AI22" s="9">
        <v>12</v>
      </c>
      <c r="AJ22" s="9">
        <v>7</v>
      </c>
      <c r="AK22" s="9">
        <v>4</v>
      </c>
      <c r="AL22" s="9">
        <v>0</v>
      </c>
      <c r="AM22" s="9">
        <v>8</v>
      </c>
      <c r="AN22" s="9">
        <v>2</v>
      </c>
      <c r="AO22" s="9">
        <v>0</v>
      </c>
      <c r="AP22" s="9">
        <v>5</v>
      </c>
      <c r="AQ22" s="8">
        <v>5</v>
      </c>
      <c r="AR22" s="8">
        <v>9</v>
      </c>
      <c r="AS22" s="8">
        <v>5</v>
      </c>
      <c r="AT22">
        <v>1</v>
      </c>
      <c r="AU22">
        <v>3</v>
      </c>
      <c r="AV22">
        <v>135</v>
      </c>
      <c r="AW22">
        <v>1</v>
      </c>
      <c r="AX22">
        <f t="shared" si="0"/>
        <v>65</v>
      </c>
      <c r="AY22" s="8">
        <v>0</v>
      </c>
      <c r="AZ22" s="8">
        <v>2</v>
      </c>
      <c r="BA22" s="8">
        <v>2</v>
      </c>
      <c r="BB22" s="9">
        <v>2</v>
      </c>
      <c r="BC22" s="27">
        <v>0</v>
      </c>
      <c r="BD22">
        <v>1</v>
      </c>
      <c r="BE22">
        <v>1</v>
      </c>
      <c r="BF22">
        <v>0</v>
      </c>
    </row>
    <row r="23" spans="1:58" x14ac:dyDescent="0.25">
      <c r="A23" s="9" t="s">
        <v>78</v>
      </c>
      <c r="B23" s="9" t="s">
        <v>157</v>
      </c>
      <c r="C23" s="9" t="s">
        <v>60</v>
      </c>
      <c r="D23" s="9" t="s">
        <v>61</v>
      </c>
      <c r="E23" s="9" t="s">
        <v>78</v>
      </c>
      <c r="F23" s="9" t="s">
        <v>79</v>
      </c>
      <c r="G23" s="9" t="s">
        <v>78</v>
      </c>
      <c r="H23" s="9" t="s">
        <v>157</v>
      </c>
      <c r="I23" s="9" t="s">
        <v>288</v>
      </c>
      <c r="J23" s="28" t="s">
        <v>289</v>
      </c>
      <c r="K23" s="9">
        <v>14</v>
      </c>
      <c r="L23" s="9">
        <v>14</v>
      </c>
      <c r="M23" s="9">
        <v>277</v>
      </c>
      <c r="N23" s="9">
        <v>426</v>
      </c>
      <c r="O23" s="9">
        <v>287</v>
      </c>
      <c r="P23" s="9">
        <v>990</v>
      </c>
      <c r="Q23" s="26">
        <v>39</v>
      </c>
      <c r="R23" s="26">
        <v>59</v>
      </c>
      <c r="S23">
        <v>1</v>
      </c>
      <c r="T23">
        <v>0</v>
      </c>
      <c r="U23">
        <v>0</v>
      </c>
      <c r="V23">
        <v>1</v>
      </c>
      <c r="W23">
        <v>1</v>
      </c>
      <c r="X23">
        <v>1</v>
      </c>
      <c r="Y23"/>
      <c r="Z23">
        <v>1</v>
      </c>
      <c r="AA23">
        <v>1</v>
      </c>
      <c r="AB23">
        <v>0</v>
      </c>
      <c r="AC23">
        <v>1</v>
      </c>
      <c r="AD23">
        <v>0</v>
      </c>
      <c r="AE23">
        <v>0</v>
      </c>
      <c r="AF23">
        <v>5</v>
      </c>
      <c r="AG23" s="9">
        <v>25</v>
      </c>
      <c r="AH23" s="9">
        <v>18</v>
      </c>
      <c r="AI23" s="9">
        <v>12</v>
      </c>
      <c r="AJ23" s="9">
        <v>5</v>
      </c>
      <c r="AK23" s="9">
        <v>0</v>
      </c>
      <c r="AL23" s="9">
        <v>1</v>
      </c>
      <c r="AM23" s="9">
        <v>11</v>
      </c>
      <c r="AN23" s="9">
        <v>2</v>
      </c>
      <c r="AO23" s="9">
        <v>0</v>
      </c>
      <c r="AP23" s="9">
        <v>3</v>
      </c>
      <c r="AQ23" s="8">
        <v>3</v>
      </c>
      <c r="AR23" s="8">
        <v>14</v>
      </c>
      <c r="AS23" s="8">
        <v>2</v>
      </c>
      <c r="AT23">
        <v>1</v>
      </c>
      <c r="AU23">
        <v>3</v>
      </c>
      <c r="AV23">
        <v>135</v>
      </c>
      <c r="AW23">
        <v>1</v>
      </c>
      <c r="AX23">
        <f t="shared" si="0"/>
        <v>65</v>
      </c>
      <c r="AY23" s="8">
        <v>0</v>
      </c>
      <c r="AZ23" s="8">
        <v>0</v>
      </c>
      <c r="BA23" s="8">
        <v>0</v>
      </c>
      <c r="BB23" s="9">
        <v>0</v>
      </c>
      <c r="BC23" s="27">
        <v>0</v>
      </c>
      <c r="BD23">
        <v>1</v>
      </c>
      <c r="BE23">
        <v>1</v>
      </c>
      <c r="BF23">
        <v>0</v>
      </c>
    </row>
    <row r="24" spans="1:58" x14ac:dyDescent="0.25">
      <c r="A24" s="9" t="s">
        <v>78</v>
      </c>
      <c r="B24" s="9" t="s">
        <v>157</v>
      </c>
      <c r="C24" s="9" t="s">
        <v>60</v>
      </c>
      <c r="D24" s="9" t="s">
        <v>61</v>
      </c>
      <c r="E24" s="9" t="s">
        <v>78</v>
      </c>
      <c r="F24" s="9" t="s">
        <v>79</v>
      </c>
      <c r="G24" s="9" t="s">
        <v>78</v>
      </c>
      <c r="H24" s="9" t="s">
        <v>157</v>
      </c>
      <c r="I24" s="9" t="s">
        <v>267</v>
      </c>
      <c r="J24" s="28" t="s">
        <v>268</v>
      </c>
      <c r="K24" s="9">
        <v>14</v>
      </c>
      <c r="L24" s="9">
        <v>14</v>
      </c>
      <c r="M24" s="9">
        <v>280</v>
      </c>
      <c r="N24" s="9">
        <v>392</v>
      </c>
      <c r="O24" s="9">
        <v>316</v>
      </c>
      <c r="P24" s="9">
        <v>988</v>
      </c>
      <c r="Q24" s="26">
        <v>39</v>
      </c>
      <c r="R24" s="26">
        <v>59</v>
      </c>
      <c r="S24">
        <v>1</v>
      </c>
      <c r="T24">
        <v>0</v>
      </c>
      <c r="U24">
        <v>0</v>
      </c>
      <c r="V24">
        <v>1</v>
      </c>
      <c r="W24">
        <v>1</v>
      </c>
      <c r="X24">
        <v>1</v>
      </c>
      <c r="Y24"/>
      <c r="Z24">
        <v>1</v>
      </c>
      <c r="AA24">
        <v>1</v>
      </c>
      <c r="AB24">
        <v>0</v>
      </c>
      <c r="AC24">
        <v>0</v>
      </c>
      <c r="AD24">
        <v>0</v>
      </c>
      <c r="AE24">
        <v>0</v>
      </c>
      <c r="AF24">
        <v>5</v>
      </c>
      <c r="AG24" s="9">
        <v>39</v>
      </c>
      <c r="AH24" s="9">
        <v>23</v>
      </c>
      <c r="AI24" s="9">
        <v>17</v>
      </c>
      <c r="AJ24" s="9">
        <v>6</v>
      </c>
      <c r="AK24" s="9">
        <v>1</v>
      </c>
      <c r="AL24" s="9">
        <v>1</v>
      </c>
      <c r="AM24" s="9">
        <v>15</v>
      </c>
      <c r="AN24" s="9">
        <v>0</v>
      </c>
      <c r="AO24" s="9">
        <v>2</v>
      </c>
      <c r="AP24" s="9">
        <v>4</v>
      </c>
      <c r="AQ24" s="8">
        <v>5</v>
      </c>
      <c r="AR24" s="8">
        <v>18</v>
      </c>
      <c r="AS24" s="8">
        <v>4</v>
      </c>
      <c r="AT24">
        <v>1</v>
      </c>
      <c r="AU24">
        <v>3</v>
      </c>
      <c r="AV24">
        <v>135</v>
      </c>
      <c r="AW24">
        <v>1</v>
      </c>
      <c r="AX24">
        <f t="shared" si="0"/>
        <v>65</v>
      </c>
      <c r="AY24" s="8">
        <v>0</v>
      </c>
      <c r="AZ24" s="8">
        <v>0</v>
      </c>
      <c r="BA24" s="8">
        <v>0</v>
      </c>
      <c r="BB24" s="9">
        <v>1</v>
      </c>
      <c r="BC24" s="27">
        <v>0</v>
      </c>
      <c r="BD24">
        <v>1</v>
      </c>
      <c r="BE24">
        <v>1</v>
      </c>
      <c r="BF24">
        <v>0</v>
      </c>
    </row>
    <row r="25" spans="1:58" x14ac:dyDescent="0.25">
      <c r="A25" s="9" t="s">
        <v>78</v>
      </c>
      <c r="B25" s="9" t="s">
        <v>157</v>
      </c>
      <c r="C25" s="9" t="s">
        <v>60</v>
      </c>
      <c r="D25" s="9" t="s">
        <v>61</v>
      </c>
      <c r="E25" s="9" t="s">
        <v>78</v>
      </c>
      <c r="F25" s="9" t="s">
        <v>79</v>
      </c>
      <c r="G25" s="9" t="s">
        <v>78</v>
      </c>
      <c r="H25" s="9" t="s">
        <v>157</v>
      </c>
      <c r="I25" s="9" t="s">
        <v>386</v>
      </c>
      <c r="J25" s="28" t="s">
        <v>387</v>
      </c>
      <c r="K25" s="9">
        <v>13</v>
      </c>
      <c r="L25" s="9">
        <v>13</v>
      </c>
      <c r="M25" s="9">
        <v>270</v>
      </c>
      <c r="N25" s="9">
        <v>415</v>
      </c>
      <c r="O25" s="9">
        <v>250</v>
      </c>
      <c r="P25" s="9">
        <v>935</v>
      </c>
      <c r="Q25" s="26">
        <v>39</v>
      </c>
      <c r="R25" s="26">
        <v>59</v>
      </c>
      <c r="S25">
        <v>1</v>
      </c>
      <c r="T25">
        <v>0</v>
      </c>
      <c r="U25">
        <v>0</v>
      </c>
      <c r="V25">
        <v>1</v>
      </c>
      <c r="W25">
        <v>1</v>
      </c>
      <c r="X25">
        <v>1</v>
      </c>
      <c r="Y25"/>
      <c r="Z25">
        <v>1</v>
      </c>
      <c r="AA25">
        <v>1</v>
      </c>
      <c r="AB25">
        <v>0</v>
      </c>
      <c r="AC25">
        <v>0</v>
      </c>
      <c r="AD25">
        <v>0</v>
      </c>
      <c r="AE25">
        <v>0</v>
      </c>
      <c r="AF25">
        <v>5</v>
      </c>
      <c r="AG25" s="9">
        <v>27</v>
      </c>
      <c r="AH25" s="9">
        <v>19</v>
      </c>
      <c r="AI25" s="9">
        <v>13</v>
      </c>
      <c r="AJ25" s="9">
        <v>5</v>
      </c>
      <c r="AK25" s="9">
        <v>1</v>
      </c>
      <c r="AL25" s="9">
        <v>0</v>
      </c>
      <c r="AM25" s="9">
        <v>12</v>
      </c>
      <c r="AN25" s="9">
        <v>0</v>
      </c>
      <c r="AO25" s="9">
        <v>0</v>
      </c>
      <c r="AP25" s="9">
        <v>5</v>
      </c>
      <c r="AQ25" s="8">
        <v>4</v>
      </c>
      <c r="AR25" s="8">
        <v>15</v>
      </c>
      <c r="AS25" s="8">
        <v>3</v>
      </c>
      <c r="AT25">
        <v>1</v>
      </c>
      <c r="AU25">
        <v>3</v>
      </c>
      <c r="AV25">
        <v>135</v>
      </c>
      <c r="AW25">
        <v>2</v>
      </c>
      <c r="AX25">
        <f t="shared" si="0"/>
        <v>130</v>
      </c>
      <c r="AY25" s="8">
        <v>0</v>
      </c>
      <c r="AZ25" s="8">
        <v>0</v>
      </c>
      <c r="BA25" s="8">
        <v>1</v>
      </c>
      <c r="BB25" s="9">
        <v>1</v>
      </c>
      <c r="BC25" s="27">
        <v>0</v>
      </c>
      <c r="BD25">
        <v>1</v>
      </c>
      <c r="BE25">
        <v>1</v>
      </c>
      <c r="BF25">
        <v>0</v>
      </c>
    </row>
    <row r="26" spans="1:58" x14ac:dyDescent="0.25">
      <c r="A26" s="9" t="s">
        <v>71</v>
      </c>
      <c r="B26" s="9" t="s">
        <v>72</v>
      </c>
      <c r="C26" s="9" t="s">
        <v>60</v>
      </c>
      <c r="D26" s="9" t="s">
        <v>61</v>
      </c>
      <c r="E26" s="9" t="s">
        <v>71</v>
      </c>
      <c r="F26" s="9" t="s">
        <v>73</v>
      </c>
      <c r="G26" s="9" t="s">
        <v>71</v>
      </c>
      <c r="H26" s="9" t="s">
        <v>72</v>
      </c>
      <c r="I26" s="9" t="s">
        <v>137</v>
      </c>
      <c r="J26" s="28" t="s">
        <v>138</v>
      </c>
      <c r="K26" s="9">
        <v>6</v>
      </c>
      <c r="L26" s="9">
        <v>6</v>
      </c>
      <c r="M26" s="9">
        <v>186</v>
      </c>
      <c r="N26" s="9">
        <v>268</v>
      </c>
      <c r="O26" s="9">
        <v>226</v>
      </c>
      <c r="P26" s="9">
        <v>680</v>
      </c>
      <c r="Q26" s="26">
        <v>36</v>
      </c>
      <c r="R26" s="26">
        <v>54</v>
      </c>
      <c r="S26">
        <v>1</v>
      </c>
      <c r="T26">
        <v>0</v>
      </c>
      <c r="U26">
        <v>0</v>
      </c>
      <c r="V26">
        <v>1</v>
      </c>
      <c r="W26">
        <v>1</v>
      </c>
      <c r="X26">
        <v>1</v>
      </c>
      <c r="Y26"/>
      <c r="Z26">
        <v>1</v>
      </c>
      <c r="AA26">
        <v>1</v>
      </c>
      <c r="AB26">
        <v>0</v>
      </c>
      <c r="AC26">
        <v>0</v>
      </c>
      <c r="AD26">
        <v>0</v>
      </c>
      <c r="AE26">
        <v>0</v>
      </c>
      <c r="AF26">
        <v>5</v>
      </c>
      <c r="AG26" s="9">
        <v>15</v>
      </c>
      <c r="AH26" s="9">
        <v>8</v>
      </c>
      <c r="AI26" s="9">
        <v>5</v>
      </c>
      <c r="AJ26" s="9">
        <v>3</v>
      </c>
      <c r="AK26" s="9">
        <v>0</v>
      </c>
      <c r="AL26" s="9">
        <v>0</v>
      </c>
      <c r="AM26" s="9">
        <v>5</v>
      </c>
      <c r="AN26" s="9">
        <v>0</v>
      </c>
      <c r="AO26" s="9">
        <v>0</v>
      </c>
      <c r="AP26" s="9">
        <v>3</v>
      </c>
      <c r="AQ26" s="8">
        <v>3</v>
      </c>
      <c r="AR26" s="8">
        <v>7</v>
      </c>
      <c r="AS26" s="8">
        <v>3</v>
      </c>
      <c r="AT26">
        <v>1</v>
      </c>
      <c r="AU26">
        <v>3</v>
      </c>
      <c r="AV26">
        <v>135</v>
      </c>
      <c r="AW26">
        <v>1</v>
      </c>
      <c r="AX26">
        <f t="shared" si="0"/>
        <v>65</v>
      </c>
      <c r="AY26" s="8">
        <v>0</v>
      </c>
      <c r="AZ26" s="8">
        <v>0</v>
      </c>
      <c r="BA26" s="8">
        <v>0</v>
      </c>
      <c r="BB26" s="9">
        <v>1</v>
      </c>
      <c r="BC26" s="27">
        <v>0</v>
      </c>
      <c r="BD26">
        <v>1</v>
      </c>
      <c r="BE26">
        <v>1</v>
      </c>
      <c r="BF26">
        <v>0</v>
      </c>
    </row>
    <row r="27" spans="1:58" x14ac:dyDescent="0.25">
      <c r="A27" s="8" t="s">
        <v>71</v>
      </c>
      <c r="B27" s="8" t="s">
        <v>72</v>
      </c>
      <c r="C27" s="8" t="s">
        <v>60</v>
      </c>
      <c r="D27" s="8" t="s">
        <v>61</v>
      </c>
      <c r="E27" s="8" t="s">
        <v>71</v>
      </c>
      <c r="F27" s="8" t="s">
        <v>73</v>
      </c>
      <c r="G27" s="8" t="s">
        <v>71</v>
      </c>
      <c r="H27" s="8" t="s">
        <v>72</v>
      </c>
      <c r="I27" s="8" t="s">
        <v>74</v>
      </c>
      <c r="J27" s="29" t="s">
        <v>75</v>
      </c>
      <c r="K27" s="8">
        <v>10</v>
      </c>
      <c r="L27" s="8">
        <v>10</v>
      </c>
      <c r="M27" s="8">
        <v>234</v>
      </c>
      <c r="N27" s="8">
        <v>285</v>
      </c>
      <c r="O27" s="8">
        <v>190</v>
      </c>
      <c r="P27" s="8">
        <v>709</v>
      </c>
      <c r="Q27" s="26">
        <v>35</v>
      </c>
      <c r="R27" s="26">
        <v>53</v>
      </c>
      <c r="S27">
        <v>1</v>
      </c>
      <c r="T27">
        <v>0</v>
      </c>
      <c r="U27">
        <v>0</v>
      </c>
      <c r="V27">
        <v>1</v>
      </c>
      <c r="W27">
        <v>1</v>
      </c>
      <c r="X27">
        <v>1</v>
      </c>
      <c r="Y27"/>
      <c r="Z27">
        <v>1</v>
      </c>
      <c r="AA27">
        <v>1</v>
      </c>
      <c r="AB27">
        <v>0</v>
      </c>
      <c r="AC27">
        <v>0</v>
      </c>
      <c r="AD27">
        <v>0</v>
      </c>
      <c r="AE27">
        <v>0</v>
      </c>
      <c r="AF27">
        <v>5</v>
      </c>
      <c r="AG27" s="8">
        <v>30</v>
      </c>
      <c r="AH27" s="8">
        <v>14</v>
      </c>
      <c r="AI27" s="8">
        <v>9</v>
      </c>
      <c r="AJ27" s="8">
        <v>5</v>
      </c>
      <c r="AK27" s="8">
        <v>2</v>
      </c>
      <c r="AL27" s="8">
        <v>0</v>
      </c>
      <c r="AM27" s="8">
        <v>7</v>
      </c>
      <c r="AN27" s="8">
        <v>1</v>
      </c>
      <c r="AO27" s="8">
        <v>0</v>
      </c>
      <c r="AP27" s="8">
        <v>4</v>
      </c>
      <c r="AQ27" s="8">
        <v>4</v>
      </c>
      <c r="AR27" s="8">
        <v>9</v>
      </c>
      <c r="AS27" s="8">
        <v>4</v>
      </c>
      <c r="AT27">
        <v>1</v>
      </c>
      <c r="AU27">
        <v>3</v>
      </c>
      <c r="AV27">
        <v>135</v>
      </c>
      <c r="AW27">
        <v>1</v>
      </c>
      <c r="AX27">
        <f t="shared" si="0"/>
        <v>65</v>
      </c>
      <c r="AY27" s="8">
        <v>0</v>
      </c>
      <c r="AZ27" s="8">
        <v>1</v>
      </c>
      <c r="BA27" s="8">
        <v>0</v>
      </c>
      <c r="BB27" s="8">
        <v>0</v>
      </c>
      <c r="BC27" s="27">
        <v>0</v>
      </c>
      <c r="BD27">
        <v>1</v>
      </c>
      <c r="BE27">
        <v>1</v>
      </c>
      <c r="BF27">
        <v>0</v>
      </c>
    </row>
    <row r="28" spans="1:58" x14ac:dyDescent="0.25">
      <c r="A28" s="9" t="s">
        <v>71</v>
      </c>
      <c r="B28" s="9" t="s">
        <v>72</v>
      </c>
      <c r="C28" s="9" t="s">
        <v>60</v>
      </c>
      <c r="D28" s="9" t="s">
        <v>61</v>
      </c>
      <c r="E28" s="9" t="s">
        <v>71</v>
      </c>
      <c r="F28" s="9" t="s">
        <v>73</v>
      </c>
      <c r="G28" s="9" t="s">
        <v>71</v>
      </c>
      <c r="H28" s="9" t="s">
        <v>72</v>
      </c>
      <c r="I28" s="9" t="s">
        <v>366</v>
      </c>
      <c r="J28" s="28" t="s">
        <v>367</v>
      </c>
      <c r="K28" s="9">
        <v>10</v>
      </c>
      <c r="L28" s="9">
        <v>10</v>
      </c>
      <c r="M28" s="9">
        <v>240</v>
      </c>
      <c r="N28" s="9">
        <v>293</v>
      </c>
      <c r="O28" s="9">
        <v>150</v>
      </c>
      <c r="P28" s="9">
        <v>683</v>
      </c>
      <c r="Q28" s="26">
        <v>34</v>
      </c>
      <c r="R28" s="26">
        <v>51</v>
      </c>
      <c r="S28">
        <v>1</v>
      </c>
      <c r="T28">
        <v>0</v>
      </c>
      <c r="U28">
        <v>0</v>
      </c>
      <c r="V28">
        <v>1</v>
      </c>
      <c r="W28">
        <v>1</v>
      </c>
      <c r="X28">
        <v>1</v>
      </c>
      <c r="Y28"/>
      <c r="Z28">
        <v>1</v>
      </c>
      <c r="AA28">
        <v>1</v>
      </c>
      <c r="AB28">
        <v>0</v>
      </c>
      <c r="AC28">
        <v>0</v>
      </c>
      <c r="AD28">
        <v>0</v>
      </c>
      <c r="AE28">
        <v>0</v>
      </c>
      <c r="AF28">
        <v>5</v>
      </c>
      <c r="AG28" s="9">
        <v>29</v>
      </c>
      <c r="AH28" s="9">
        <v>16</v>
      </c>
      <c r="AI28" s="9">
        <v>11</v>
      </c>
      <c r="AJ28" s="9">
        <v>5</v>
      </c>
      <c r="AK28" s="9">
        <v>0</v>
      </c>
      <c r="AL28" s="9">
        <v>0</v>
      </c>
      <c r="AM28" s="9">
        <v>11</v>
      </c>
      <c r="AN28" s="9">
        <v>0</v>
      </c>
      <c r="AO28" s="9">
        <v>0</v>
      </c>
      <c r="AP28" s="9">
        <v>5</v>
      </c>
      <c r="AQ28" s="8">
        <v>5</v>
      </c>
      <c r="AR28" s="8">
        <v>12</v>
      </c>
      <c r="AS28" s="8">
        <v>5</v>
      </c>
      <c r="AT28">
        <v>1</v>
      </c>
      <c r="AU28">
        <v>3</v>
      </c>
      <c r="AV28">
        <v>135</v>
      </c>
      <c r="AW28">
        <v>2</v>
      </c>
      <c r="AX28">
        <f t="shared" si="0"/>
        <v>130</v>
      </c>
      <c r="AY28" s="8">
        <v>0</v>
      </c>
      <c r="AZ28" s="8">
        <v>0</v>
      </c>
      <c r="BA28" s="8">
        <v>1</v>
      </c>
      <c r="BB28" s="9">
        <v>1</v>
      </c>
      <c r="BC28" s="27">
        <v>0</v>
      </c>
      <c r="BD28">
        <v>1</v>
      </c>
      <c r="BE28">
        <v>1</v>
      </c>
      <c r="BF28">
        <v>0</v>
      </c>
    </row>
    <row r="29" spans="1:58" x14ac:dyDescent="0.25">
      <c r="A29" s="9" t="s">
        <v>71</v>
      </c>
      <c r="B29" s="9" t="s">
        <v>72</v>
      </c>
      <c r="C29" s="9" t="s">
        <v>60</v>
      </c>
      <c r="D29" s="9" t="s">
        <v>61</v>
      </c>
      <c r="E29" s="9" t="s">
        <v>71</v>
      </c>
      <c r="F29" s="9" t="s">
        <v>73</v>
      </c>
      <c r="G29" s="9" t="s">
        <v>71</v>
      </c>
      <c r="H29" s="9" t="s">
        <v>72</v>
      </c>
      <c r="I29" s="9" t="s">
        <v>188</v>
      </c>
      <c r="J29" s="28" t="s">
        <v>189</v>
      </c>
      <c r="K29" s="9">
        <v>11</v>
      </c>
      <c r="L29" s="9">
        <v>11</v>
      </c>
      <c r="M29" s="9">
        <v>243</v>
      </c>
      <c r="N29" s="9">
        <v>275</v>
      </c>
      <c r="O29" s="9">
        <v>162</v>
      </c>
      <c r="P29" s="9">
        <v>680</v>
      </c>
      <c r="Q29" s="26">
        <v>32</v>
      </c>
      <c r="R29" s="26">
        <v>48</v>
      </c>
      <c r="S29">
        <v>1</v>
      </c>
      <c r="T29">
        <v>0</v>
      </c>
      <c r="U29">
        <v>0</v>
      </c>
      <c r="V29">
        <v>1</v>
      </c>
      <c r="W29">
        <v>1</v>
      </c>
      <c r="X29">
        <v>1</v>
      </c>
      <c r="Y29"/>
      <c r="Z29">
        <v>1</v>
      </c>
      <c r="AA29">
        <v>1</v>
      </c>
      <c r="AB29">
        <v>0</v>
      </c>
      <c r="AC29">
        <v>0</v>
      </c>
      <c r="AD29">
        <v>0</v>
      </c>
      <c r="AE29">
        <v>0</v>
      </c>
      <c r="AF29">
        <v>5</v>
      </c>
      <c r="AG29" s="9">
        <v>31</v>
      </c>
      <c r="AH29" s="9">
        <v>15</v>
      </c>
      <c r="AI29" s="9">
        <v>10</v>
      </c>
      <c r="AJ29" s="9">
        <v>5</v>
      </c>
      <c r="AK29" s="9">
        <v>1</v>
      </c>
      <c r="AL29" s="9">
        <v>0</v>
      </c>
      <c r="AM29" s="9">
        <v>9</v>
      </c>
      <c r="AN29" s="9">
        <v>1</v>
      </c>
      <c r="AO29" s="9">
        <v>0</v>
      </c>
      <c r="AP29" s="9">
        <v>4</v>
      </c>
      <c r="AQ29" s="8">
        <v>4</v>
      </c>
      <c r="AR29" s="8">
        <v>10</v>
      </c>
      <c r="AS29" s="8">
        <v>4</v>
      </c>
      <c r="AT29">
        <v>1</v>
      </c>
      <c r="AU29">
        <v>4</v>
      </c>
      <c r="AV29">
        <v>180</v>
      </c>
      <c r="AW29">
        <v>1</v>
      </c>
      <c r="AX29">
        <f t="shared" si="0"/>
        <v>65</v>
      </c>
      <c r="AY29" s="8">
        <v>0</v>
      </c>
      <c r="AZ29" s="8">
        <v>0</v>
      </c>
      <c r="BA29" s="8">
        <v>0</v>
      </c>
      <c r="BB29" s="9">
        <v>2</v>
      </c>
      <c r="BC29" s="27">
        <v>0</v>
      </c>
      <c r="BD29">
        <v>1</v>
      </c>
      <c r="BE29">
        <v>1</v>
      </c>
      <c r="BF29">
        <v>0</v>
      </c>
    </row>
    <row r="30" spans="1:58" x14ac:dyDescent="0.25">
      <c r="A30" s="9" t="s">
        <v>71</v>
      </c>
      <c r="B30" s="9" t="s">
        <v>72</v>
      </c>
      <c r="C30" s="9" t="s">
        <v>60</v>
      </c>
      <c r="D30" s="9" t="s">
        <v>61</v>
      </c>
      <c r="E30" s="9" t="s">
        <v>71</v>
      </c>
      <c r="F30" s="9" t="s">
        <v>73</v>
      </c>
      <c r="G30" s="9" t="s">
        <v>71</v>
      </c>
      <c r="H30" s="9" t="s">
        <v>72</v>
      </c>
      <c r="I30" s="9" t="s">
        <v>432</v>
      </c>
      <c r="J30" s="28" t="s">
        <v>433</v>
      </c>
      <c r="K30" s="9">
        <v>7</v>
      </c>
      <c r="L30" s="9">
        <v>7</v>
      </c>
      <c r="M30" s="9">
        <v>217</v>
      </c>
      <c r="N30" s="9">
        <v>289</v>
      </c>
      <c r="O30" s="9">
        <v>205</v>
      </c>
      <c r="P30" s="9">
        <v>711</v>
      </c>
      <c r="Q30" s="26">
        <v>36</v>
      </c>
      <c r="R30" s="26">
        <v>54</v>
      </c>
      <c r="S30">
        <v>1</v>
      </c>
      <c r="T30">
        <v>0</v>
      </c>
      <c r="U30">
        <v>0</v>
      </c>
      <c r="V30">
        <v>1</v>
      </c>
      <c r="W30">
        <v>1</v>
      </c>
      <c r="X30">
        <v>1</v>
      </c>
      <c r="Y30"/>
      <c r="Z30">
        <v>1</v>
      </c>
      <c r="AA30">
        <v>1</v>
      </c>
      <c r="AB30">
        <v>0</v>
      </c>
      <c r="AC30">
        <v>1</v>
      </c>
      <c r="AD30">
        <v>0</v>
      </c>
      <c r="AE30">
        <v>0</v>
      </c>
      <c r="AF30">
        <v>5</v>
      </c>
      <c r="AG30" s="9">
        <v>19</v>
      </c>
      <c r="AH30" s="9">
        <v>13</v>
      </c>
      <c r="AI30" s="9">
        <v>8</v>
      </c>
      <c r="AJ30" s="9">
        <v>5</v>
      </c>
      <c r="AK30" s="9">
        <v>0</v>
      </c>
      <c r="AL30" s="9">
        <v>0</v>
      </c>
      <c r="AM30" s="9">
        <v>8</v>
      </c>
      <c r="AN30" s="9">
        <v>1</v>
      </c>
      <c r="AO30" s="9">
        <v>0</v>
      </c>
      <c r="AP30" s="9">
        <v>4</v>
      </c>
      <c r="AQ30" s="8">
        <v>4</v>
      </c>
      <c r="AR30" s="8">
        <v>10</v>
      </c>
      <c r="AS30" s="8">
        <v>4</v>
      </c>
      <c r="AT30">
        <v>1</v>
      </c>
      <c r="AU30">
        <v>3</v>
      </c>
      <c r="AV30">
        <v>135</v>
      </c>
      <c r="AW30">
        <v>1</v>
      </c>
      <c r="AX30">
        <f t="shared" si="0"/>
        <v>65</v>
      </c>
      <c r="AY30" s="8">
        <v>0</v>
      </c>
      <c r="AZ30" s="8">
        <v>0</v>
      </c>
      <c r="BA30" s="8">
        <v>0</v>
      </c>
      <c r="BB30" s="9">
        <v>1</v>
      </c>
      <c r="BC30" s="27">
        <v>0</v>
      </c>
      <c r="BD30">
        <v>1</v>
      </c>
      <c r="BE30">
        <v>1</v>
      </c>
      <c r="BF30">
        <v>0</v>
      </c>
    </row>
    <row r="31" spans="1:58" x14ac:dyDescent="0.25">
      <c r="A31" s="9" t="s">
        <v>71</v>
      </c>
      <c r="B31" s="9" t="s">
        <v>72</v>
      </c>
      <c r="C31" s="9" t="s">
        <v>60</v>
      </c>
      <c r="D31" s="9" t="s">
        <v>61</v>
      </c>
      <c r="E31" s="9" t="s">
        <v>71</v>
      </c>
      <c r="F31" s="9" t="s">
        <v>73</v>
      </c>
      <c r="G31" s="9" t="s">
        <v>71</v>
      </c>
      <c r="H31" s="9" t="s">
        <v>72</v>
      </c>
      <c r="I31" s="9" t="s">
        <v>296</v>
      </c>
      <c r="J31" s="28" t="s">
        <v>297</v>
      </c>
      <c r="K31" s="9">
        <v>10</v>
      </c>
      <c r="L31" s="9">
        <v>10</v>
      </c>
      <c r="M31" s="9">
        <v>234</v>
      </c>
      <c r="N31" s="9">
        <v>279</v>
      </c>
      <c r="O31" s="9">
        <v>166</v>
      </c>
      <c r="P31" s="9">
        <v>679</v>
      </c>
      <c r="Q31" s="26">
        <v>34</v>
      </c>
      <c r="R31" s="26">
        <v>51</v>
      </c>
      <c r="S31">
        <v>1</v>
      </c>
      <c r="T31">
        <v>0</v>
      </c>
      <c r="U31">
        <v>0</v>
      </c>
      <c r="V31">
        <v>1</v>
      </c>
      <c r="W31">
        <v>1</v>
      </c>
      <c r="X31">
        <v>1</v>
      </c>
      <c r="Y31"/>
      <c r="Z31">
        <v>1</v>
      </c>
      <c r="AA31">
        <v>1</v>
      </c>
      <c r="AB31">
        <v>0</v>
      </c>
      <c r="AC31">
        <v>0</v>
      </c>
      <c r="AD31">
        <v>0</v>
      </c>
      <c r="AE31">
        <v>0</v>
      </c>
      <c r="AF31">
        <v>5</v>
      </c>
      <c r="AG31" s="9">
        <v>33</v>
      </c>
      <c r="AH31" s="9">
        <v>16</v>
      </c>
      <c r="AI31" s="9">
        <v>12</v>
      </c>
      <c r="AJ31" s="9">
        <v>4</v>
      </c>
      <c r="AK31" s="9">
        <v>5</v>
      </c>
      <c r="AL31" s="9">
        <v>0</v>
      </c>
      <c r="AM31" s="9">
        <v>7</v>
      </c>
      <c r="AN31" s="9">
        <v>0</v>
      </c>
      <c r="AO31" s="9">
        <v>0</v>
      </c>
      <c r="AP31" s="9">
        <v>4</v>
      </c>
      <c r="AQ31" s="8">
        <v>4</v>
      </c>
      <c r="AR31" s="8">
        <v>9</v>
      </c>
      <c r="AS31" s="8">
        <v>4</v>
      </c>
      <c r="AT31">
        <v>1</v>
      </c>
      <c r="AU31">
        <v>3</v>
      </c>
      <c r="AV31">
        <v>135</v>
      </c>
      <c r="AW31">
        <v>2</v>
      </c>
      <c r="AX31">
        <f t="shared" si="0"/>
        <v>130</v>
      </c>
      <c r="AY31" s="8">
        <v>0</v>
      </c>
      <c r="AZ31" s="8">
        <v>1</v>
      </c>
      <c r="BA31" s="8">
        <v>0</v>
      </c>
      <c r="BB31" s="9">
        <v>1</v>
      </c>
      <c r="BC31" s="27">
        <v>0</v>
      </c>
      <c r="BD31">
        <v>1</v>
      </c>
      <c r="BE31">
        <v>1</v>
      </c>
      <c r="BF31">
        <v>0</v>
      </c>
    </row>
    <row r="32" spans="1:58" x14ac:dyDescent="0.25">
      <c r="A32" s="9" t="s">
        <v>71</v>
      </c>
      <c r="B32" s="9" t="s">
        <v>72</v>
      </c>
      <c r="C32" s="9" t="s">
        <v>60</v>
      </c>
      <c r="D32" s="9" t="s">
        <v>61</v>
      </c>
      <c r="E32" s="9" t="s">
        <v>71</v>
      </c>
      <c r="F32" s="9" t="s">
        <v>73</v>
      </c>
      <c r="G32" s="9" t="s">
        <v>71</v>
      </c>
      <c r="H32" s="9" t="s">
        <v>72</v>
      </c>
      <c r="I32" s="9" t="s">
        <v>290</v>
      </c>
      <c r="J32" s="28" t="s">
        <v>291</v>
      </c>
      <c r="K32" s="9">
        <v>6</v>
      </c>
      <c r="L32" s="9">
        <v>6</v>
      </c>
      <c r="M32" s="9">
        <v>199</v>
      </c>
      <c r="N32" s="9">
        <v>223</v>
      </c>
      <c r="O32" s="9">
        <v>172</v>
      </c>
      <c r="P32" s="9">
        <v>594</v>
      </c>
      <c r="Q32" s="26">
        <v>32</v>
      </c>
      <c r="R32" s="26">
        <v>48</v>
      </c>
      <c r="S32">
        <v>1</v>
      </c>
      <c r="T32">
        <v>0</v>
      </c>
      <c r="U32">
        <v>0</v>
      </c>
      <c r="V32">
        <v>1</v>
      </c>
      <c r="W32">
        <v>1</v>
      </c>
      <c r="X32">
        <v>1</v>
      </c>
      <c r="Y32"/>
      <c r="Z32">
        <v>1</v>
      </c>
      <c r="AA32">
        <v>1</v>
      </c>
      <c r="AB32">
        <v>0</v>
      </c>
      <c r="AC32">
        <v>0</v>
      </c>
      <c r="AD32">
        <v>0</v>
      </c>
      <c r="AE32">
        <v>0</v>
      </c>
      <c r="AF32">
        <v>5</v>
      </c>
      <c r="AG32" s="9">
        <v>14</v>
      </c>
      <c r="AH32" s="9">
        <v>9</v>
      </c>
      <c r="AI32" s="9">
        <v>5</v>
      </c>
      <c r="AJ32" s="9">
        <v>4</v>
      </c>
      <c r="AK32" s="9">
        <v>1</v>
      </c>
      <c r="AL32" s="9">
        <v>0</v>
      </c>
      <c r="AM32" s="9">
        <v>4</v>
      </c>
      <c r="AN32" s="9">
        <v>2</v>
      </c>
      <c r="AO32" s="9">
        <v>0</v>
      </c>
      <c r="AP32" s="9">
        <v>2</v>
      </c>
      <c r="AQ32" s="8">
        <v>2</v>
      </c>
      <c r="AR32" s="8">
        <v>4</v>
      </c>
      <c r="AS32" s="8">
        <v>2</v>
      </c>
      <c r="AT32">
        <v>1</v>
      </c>
      <c r="AU32">
        <v>4</v>
      </c>
      <c r="AV32">
        <v>180</v>
      </c>
      <c r="AW32">
        <v>1</v>
      </c>
      <c r="AX32">
        <f t="shared" si="0"/>
        <v>65</v>
      </c>
      <c r="AY32" s="8">
        <v>0</v>
      </c>
      <c r="AZ32" s="8">
        <v>0</v>
      </c>
      <c r="BA32" s="8">
        <v>0</v>
      </c>
      <c r="BB32" s="9">
        <v>0</v>
      </c>
      <c r="BC32" s="27">
        <v>0</v>
      </c>
      <c r="BD32">
        <v>1</v>
      </c>
      <c r="BE32">
        <v>1</v>
      </c>
      <c r="BF32">
        <v>0</v>
      </c>
    </row>
    <row r="33" spans="1:58" x14ac:dyDescent="0.25">
      <c r="A33" s="9" t="s">
        <v>98</v>
      </c>
      <c r="B33" s="9" t="s">
        <v>99</v>
      </c>
      <c r="C33" s="9" t="s">
        <v>60</v>
      </c>
      <c r="D33" s="9" t="s">
        <v>61</v>
      </c>
      <c r="E33" s="9" t="s">
        <v>98</v>
      </c>
      <c r="F33" s="9" t="s">
        <v>100</v>
      </c>
      <c r="G33" s="9" t="s">
        <v>98</v>
      </c>
      <c r="H33" s="9" t="s">
        <v>99</v>
      </c>
      <c r="I33" s="9" t="s">
        <v>233</v>
      </c>
      <c r="J33" s="28" t="s">
        <v>234</v>
      </c>
      <c r="K33" s="9">
        <v>11</v>
      </c>
      <c r="L33" s="9">
        <v>11</v>
      </c>
      <c r="M33" s="9">
        <v>298</v>
      </c>
      <c r="N33" s="9">
        <v>358</v>
      </c>
      <c r="O33" s="9">
        <v>218</v>
      </c>
      <c r="P33" s="9">
        <v>874</v>
      </c>
      <c r="Q33" s="26">
        <v>39</v>
      </c>
      <c r="R33" s="26">
        <v>59</v>
      </c>
      <c r="S33">
        <v>1</v>
      </c>
      <c r="T33">
        <v>0</v>
      </c>
      <c r="U33">
        <v>0</v>
      </c>
      <c r="V33">
        <v>1</v>
      </c>
      <c r="W33">
        <v>1</v>
      </c>
      <c r="X33">
        <v>1</v>
      </c>
      <c r="Y33"/>
      <c r="Z33">
        <v>1</v>
      </c>
      <c r="AA33">
        <v>1</v>
      </c>
      <c r="AB33">
        <v>0</v>
      </c>
      <c r="AC33">
        <v>0</v>
      </c>
      <c r="AD33">
        <v>0</v>
      </c>
      <c r="AE33">
        <v>0</v>
      </c>
      <c r="AF33">
        <v>5</v>
      </c>
      <c r="AG33" s="9">
        <v>26</v>
      </c>
      <c r="AH33" s="9">
        <v>14</v>
      </c>
      <c r="AI33" s="9">
        <v>6</v>
      </c>
      <c r="AJ33" s="9">
        <v>8</v>
      </c>
      <c r="AK33" s="9">
        <v>0</v>
      </c>
      <c r="AL33" s="9">
        <v>0</v>
      </c>
      <c r="AM33" s="9">
        <v>6</v>
      </c>
      <c r="AN33" s="9">
        <v>0</v>
      </c>
      <c r="AO33" s="9">
        <v>0</v>
      </c>
      <c r="AP33" s="9">
        <v>8</v>
      </c>
      <c r="AQ33" s="8">
        <v>8</v>
      </c>
      <c r="AR33" s="8">
        <v>12</v>
      </c>
      <c r="AS33" s="8">
        <v>8</v>
      </c>
      <c r="AT33">
        <v>1</v>
      </c>
      <c r="AU33">
        <v>3</v>
      </c>
      <c r="AV33">
        <v>135</v>
      </c>
      <c r="AW33">
        <v>2</v>
      </c>
      <c r="AX33">
        <f t="shared" si="0"/>
        <v>130</v>
      </c>
      <c r="AY33" s="8">
        <v>0</v>
      </c>
      <c r="AZ33" s="8">
        <v>0</v>
      </c>
      <c r="BA33" s="8">
        <v>1</v>
      </c>
      <c r="BB33" s="9">
        <v>1</v>
      </c>
      <c r="BC33" s="27">
        <v>0</v>
      </c>
      <c r="BD33">
        <v>1</v>
      </c>
      <c r="BE33">
        <v>1</v>
      </c>
      <c r="BF33">
        <v>0</v>
      </c>
    </row>
    <row r="34" spans="1:58" x14ac:dyDescent="0.25">
      <c r="A34" s="8" t="s">
        <v>98</v>
      </c>
      <c r="B34" s="8" t="s">
        <v>99</v>
      </c>
      <c r="C34" s="8" t="s">
        <v>60</v>
      </c>
      <c r="D34" s="8" t="s">
        <v>61</v>
      </c>
      <c r="E34" s="8" t="s">
        <v>98</v>
      </c>
      <c r="F34" s="8" t="s">
        <v>100</v>
      </c>
      <c r="G34" s="8" t="s">
        <v>98</v>
      </c>
      <c r="H34" s="8" t="s">
        <v>99</v>
      </c>
      <c r="I34" s="8" t="s">
        <v>101</v>
      </c>
      <c r="J34" s="29" t="s">
        <v>102</v>
      </c>
      <c r="K34" s="8">
        <v>15</v>
      </c>
      <c r="L34" s="8">
        <v>15</v>
      </c>
      <c r="M34" s="8">
        <v>334</v>
      </c>
      <c r="N34" s="8">
        <v>351</v>
      </c>
      <c r="O34" s="8">
        <v>209</v>
      </c>
      <c r="P34" s="8">
        <v>894</v>
      </c>
      <c r="Q34" s="26">
        <v>39</v>
      </c>
      <c r="R34" s="26">
        <v>59</v>
      </c>
      <c r="S34">
        <v>1</v>
      </c>
      <c r="T34">
        <v>0</v>
      </c>
      <c r="U34">
        <v>0</v>
      </c>
      <c r="V34">
        <v>1</v>
      </c>
      <c r="W34">
        <v>1</v>
      </c>
      <c r="X34">
        <v>1</v>
      </c>
      <c r="Y34"/>
      <c r="Z34">
        <v>1</v>
      </c>
      <c r="AA34">
        <v>1</v>
      </c>
      <c r="AB34">
        <v>0</v>
      </c>
      <c r="AC34">
        <v>0</v>
      </c>
      <c r="AD34">
        <v>0</v>
      </c>
      <c r="AE34">
        <v>0</v>
      </c>
      <c r="AF34">
        <v>5</v>
      </c>
      <c r="AG34" s="8">
        <v>45</v>
      </c>
      <c r="AH34" s="8">
        <v>24</v>
      </c>
      <c r="AI34" s="8">
        <v>15</v>
      </c>
      <c r="AJ34" s="8">
        <v>8</v>
      </c>
      <c r="AK34" s="8">
        <v>1</v>
      </c>
      <c r="AL34" s="8">
        <v>0</v>
      </c>
      <c r="AM34" s="8">
        <v>14</v>
      </c>
      <c r="AN34" s="8">
        <v>0</v>
      </c>
      <c r="AO34" s="8">
        <v>1</v>
      </c>
      <c r="AP34" s="8">
        <v>7</v>
      </c>
      <c r="AQ34" s="8">
        <v>8</v>
      </c>
      <c r="AR34" s="8">
        <v>16</v>
      </c>
      <c r="AS34" s="8">
        <v>8</v>
      </c>
      <c r="AT34">
        <v>1</v>
      </c>
      <c r="AU34">
        <v>3</v>
      </c>
      <c r="AV34">
        <v>135</v>
      </c>
      <c r="AW34">
        <v>2</v>
      </c>
      <c r="AX34">
        <f t="shared" si="0"/>
        <v>130</v>
      </c>
      <c r="AY34" s="8">
        <v>0</v>
      </c>
      <c r="AZ34" s="8">
        <v>0</v>
      </c>
      <c r="BA34" s="8">
        <v>1</v>
      </c>
      <c r="BB34" s="8">
        <v>1</v>
      </c>
      <c r="BC34" s="27">
        <v>0</v>
      </c>
      <c r="BD34">
        <v>1</v>
      </c>
      <c r="BE34">
        <v>1</v>
      </c>
      <c r="BF34">
        <v>0</v>
      </c>
    </row>
    <row r="35" spans="1:58" x14ac:dyDescent="0.25">
      <c r="A35" s="9" t="s">
        <v>98</v>
      </c>
      <c r="B35" s="9" t="s">
        <v>99</v>
      </c>
      <c r="C35" s="9" t="s">
        <v>60</v>
      </c>
      <c r="D35" s="9" t="s">
        <v>61</v>
      </c>
      <c r="E35" s="9" t="s">
        <v>98</v>
      </c>
      <c r="F35" s="9" t="s">
        <v>100</v>
      </c>
      <c r="G35" s="9" t="s">
        <v>153</v>
      </c>
      <c r="H35" s="9" t="s">
        <v>154</v>
      </c>
      <c r="I35" s="9" t="s">
        <v>314</v>
      </c>
      <c r="J35" s="28" t="s">
        <v>315</v>
      </c>
      <c r="K35" s="9">
        <v>12</v>
      </c>
      <c r="L35" s="9">
        <v>12</v>
      </c>
      <c r="M35" s="9">
        <v>280</v>
      </c>
      <c r="N35" s="9">
        <v>334</v>
      </c>
      <c r="O35" s="9">
        <v>204</v>
      </c>
      <c r="P35" s="9">
        <v>818</v>
      </c>
      <c r="Q35" s="26">
        <v>39</v>
      </c>
      <c r="R35" s="26">
        <v>59</v>
      </c>
      <c r="S35">
        <v>1</v>
      </c>
      <c r="T35">
        <v>0</v>
      </c>
      <c r="U35">
        <v>0</v>
      </c>
      <c r="V35">
        <v>1</v>
      </c>
      <c r="W35">
        <v>1</v>
      </c>
      <c r="X35">
        <v>1</v>
      </c>
      <c r="Y35"/>
      <c r="Z35">
        <v>1</v>
      </c>
      <c r="AA35">
        <v>1</v>
      </c>
      <c r="AB35">
        <v>0</v>
      </c>
      <c r="AC35">
        <v>0</v>
      </c>
      <c r="AD35">
        <v>0</v>
      </c>
      <c r="AE35">
        <v>0</v>
      </c>
      <c r="AF35">
        <v>5</v>
      </c>
      <c r="AG35" s="9">
        <v>42</v>
      </c>
      <c r="AH35" s="9">
        <v>25</v>
      </c>
      <c r="AI35" s="9">
        <v>15</v>
      </c>
      <c r="AJ35" s="9">
        <v>9</v>
      </c>
      <c r="AK35" s="9">
        <v>3</v>
      </c>
      <c r="AL35" s="9">
        <v>0</v>
      </c>
      <c r="AM35" s="9">
        <v>12</v>
      </c>
      <c r="AN35" s="9">
        <v>1</v>
      </c>
      <c r="AO35" s="9">
        <v>1</v>
      </c>
      <c r="AP35" s="9">
        <v>7</v>
      </c>
      <c r="AQ35" s="8">
        <v>8</v>
      </c>
      <c r="AR35" s="8">
        <v>13</v>
      </c>
      <c r="AS35" s="8">
        <v>8</v>
      </c>
      <c r="AT35">
        <v>1</v>
      </c>
      <c r="AU35">
        <v>4</v>
      </c>
      <c r="AV35">
        <v>180</v>
      </c>
      <c r="AW35">
        <v>1</v>
      </c>
      <c r="AX35">
        <f t="shared" si="0"/>
        <v>65</v>
      </c>
      <c r="AY35" s="8">
        <v>0</v>
      </c>
      <c r="AZ35" s="8">
        <v>0</v>
      </c>
      <c r="BA35" s="8">
        <v>0</v>
      </c>
      <c r="BB35" s="9">
        <v>3</v>
      </c>
      <c r="BC35" s="27">
        <v>0</v>
      </c>
      <c r="BD35">
        <v>1</v>
      </c>
      <c r="BE35">
        <v>1</v>
      </c>
      <c r="BF35">
        <v>0</v>
      </c>
    </row>
    <row r="36" spans="1:58" x14ac:dyDescent="0.25">
      <c r="A36" s="9" t="s">
        <v>98</v>
      </c>
      <c r="B36" s="9" t="s">
        <v>99</v>
      </c>
      <c r="C36" s="9" t="s">
        <v>60</v>
      </c>
      <c r="D36" s="9" t="s">
        <v>61</v>
      </c>
      <c r="E36" s="9" t="s">
        <v>98</v>
      </c>
      <c r="F36" s="9" t="s">
        <v>100</v>
      </c>
      <c r="G36" s="9" t="s">
        <v>98</v>
      </c>
      <c r="H36" s="9" t="s">
        <v>99</v>
      </c>
      <c r="I36" s="9" t="s">
        <v>334</v>
      </c>
      <c r="J36" s="28" t="s">
        <v>335</v>
      </c>
      <c r="K36" s="9">
        <v>12</v>
      </c>
      <c r="L36" s="9">
        <v>12</v>
      </c>
      <c r="M36" s="9">
        <v>261</v>
      </c>
      <c r="N36" s="9">
        <v>344</v>
      </c>
      <c r="O36" s="9">
        <v>200</v>
      </c>
      <c r="P36" s="9">
        <v>805</v>
      </c>
      <c r="Q36" s="26">
        <v>39</v>
      </c>
      <c r="R36" s="26">
        <v>59</v>
      </c>
      <c r="S36">
        <v>1</v>
      </c>
      <c r="T36">
        <v>0</v>
      </c>
      <c r="U36">
        <v>0</v>
      </c>
      <c r="V36">
        <v>1</v>
      </c>
      <c r="W36">
        <v>1</v>
      </c>
      <c r="X36">
        <v>1</v>
      </c>
      <c r="Y36"/>
      <c r="Z36">
        <v>1</v>
      </c>
      <c r="AA36">
        <v>1</v>
      </c>
      <c r="AB36">
        <v>0</v>
      </c>
      <c r="AC36">
        <v>0</v>
      </c>
      <c r="AD36">
        <v>0</v>
      </c>
      <c r="AE36">
        <v>0</v>
      </c>
      <c r="AF36">
        <v>5</v>
      </c>
      <c r="AG36" s="9">
        <v>26</v>
      </c>
      <c r="AH36" s="9">
        <v>18</v>
      </c>
      <c r="AI36" s="9">
        <v>11</v>
      </c>
      <c r="AJ36" s="9">
        <v>7</v>
      </c>
      <c r="AK36" s="9">
        <v>0</v>
      </c>
      <c r="AL36" s="9">
        <v>0</v>
      </c>
      <c r="AM36" s="9">
        <v>11</v>
      </c>
      <c r="AN36" s="9">
        <v>2</v>
      </c>
      <c r="AO36" s="9">
        <v>1</v>
      </c>
      <c r="AP36" s="9">
        <v>4</v>
      </c>
      <c r="AQ36" s="8">
        <v>5</v>
      </c>
      <c r="AR36" s="8">
        <v>13</v>
      </c>
      <c r="AS36" s="8">
        <v>5</v>
      </c>
      <c r="AT36">
        <v>1</v>
      </c>
      <c r="AU36">
        <v>4</v>
      </c>
      <c r="AV36">
        <v>180</v>
      </c>
      <c r="AW36">
        <v>1</v>
      </c>
      <c r="AX36">
        <f t="shared" si="0"/>
        <v>65</v>
      </c>
      <c r="AY36" s="8">
        <v>0</v>
      </c>
      <c r="AZ36" s="8">
        <v>0</v>
      </c>
      <c r="BA36" s="8">
        <v>0</v>
      </c>
      <c r="BB36" s="9">
        <v>0</v>
      </c>
      <c r="BC36" s="27">
        <v>0</v>
      </c>
      <c r="BD36">
        <v>1</v>
      </c>
      <c r="BE36">
        <v>1</v>
      </c>
      <c r="BF36">
        <v>0</v>
      </c>
    </row>
    <row r="37" spans="1:58" x14ac:dyDescent="0.25">
      <c r="A37" s="9" t="s">
        <v>330</v>
      </c>
      <c r="B37" s="9" t="s">
        <v>331</v>
      </c>
      <c r="C37" s="9" t="s">
        <v>60</v>
      </c>
      <c r="D37" s="9" t="s">
        <v>61</v>
      </c>
      <c r="E37" s="9" t="s">
        <v>216</v>
      </c>
      <c r="F37" s="9" t="s">
        <v>218</v>
      </c>
      <c r="G37" s="9" t="s">
        <v>330</v>
      </c>
      <c r="H37" s="9" t="s">
        <v>331</v>
      </c>
      <c r="I37" s="9" t="s">
        <v>344</v>
      </c>
      <c r="J37" s="28" t="s">
        <v>345</v>
      </c>
      <c r="K37" s="9">
        <v>9</v>
      </c>
      <c r="L37" s="9">
        <v>9</v>
      </c>
      <c r="M37" s="9">
        <v>220</v>
      </c>
      <c r="N37" s="9">
        <v>331</v>
      </c>
      <c r="O37" s="9">
        <v>164</v>
      </c>
      <c r="P37" s="9">
        <v>715</v>
      </c>
      <c r="Q37" s="26">
        <v>36</v>
      </c>
      <c r="R37" s="26">
        <v>54</v>
      </c>
      <c r="S37">
        <v>1</v>
      </c>
      <c r="T37">
        <v>0</v>
      </c>
      <c r="U37">
        <v>0</v>
      </c>
      <c r="V37">
        <v>1</v>
      </c>
      <c r="W37">
        <v>1</v>
      </c>
      <c r="X37">
        <v>1</v>
      </c>
      <c r="Y37"/>
      <c r="Z37">
        <v>1</v>
      </c>
      <c r="AA37">
        <v>1</v>
      </c>
      <c r="AB37">
        <v>0</v>
      </c>
      <c r="AC37">
        <v>0</v>
      </c>
      <c r="AD37">
        <v>0</v>
      </c>
      <c r="AE37">
        <v>0</v>
      </c>
      <c r="AF37">
        <v>5</v>
      </c>
      <c r="AG37" s="9">
        <v>26</v>
      </c>
      <c r="AH37" s="9">
        <v>17</v>
      </c>
      <c r="AI37" s="9">
        <v>10</v>
      </c>
      <c r="AJ37" s="9">
        <v>7</v>
      </c>
      <c r="AK37" s="9">
        <v>0</v>
      </c>
      <c r="AL37" s="9">
        <v>0</v>
      </c>
      <c r="AM37" s="9">
        <v>10</v>
      </c>
      <c r="AN37" s="9">
        <v>2</v>
      </c>
      <c r="AO37" s="9">
        <v>0</v>
      </c>
      <c r="AP37" s="9">
        <v>5</v>
      </c>
      <c r="AQ37" s="8">
        <v>5</v>
      </c>
      <c r="AR37" s="8">
        <v>11</v>
      </c>
      <c r="AS37" s="8">
        <v>5</v>
      </c>
      <c r="AT37">
        <v>1</v>
      </c>
      <c r="AU37">
        <v>3</v>
      </c>
      <c r="AV37">
        <v>135</v>
      </c>
      <c r="AW37">
        <v>2</v>
      </c>
      <c r="AX37">
        <f t="shared" ref="AX37:AX68" si="1">AW37*65</f>
        <v>130</v>
      </c>
      <c r="AY37" s="8">
        <v>0</v>
      </c>
      <c r="AZ37" s="8">
        <v>0</v>
      </c>
      <c r="BA37" s="8">
        <v>2</v>
      </c>
      <c r="BB37" s="9">
        <v>4</v>
      </c>
      <c r="BC37" s="27">
        <v>0</v>
      </c>
      <c r="BD37">
        <v>1</v>
      </c>
      <c r="BE37">
        <v>1</v>
      </c>
      <c r="BF37">
        <v>0</v>
      </c>
    </row>
    <row r="38" spans="1:58" x14ac:dyDescent="0.25">
      <c r="A38" s="9" t="s">
        <v>330</v>
      </c>
      <c r="B38" s="9" t="s">
        <v>331</v>
      </c>
      <c r="C38" s="9" t="s">
        <v>60</v>
      </c>
      <c r="D38" s="9" t="s">
        <v>61</v>
      </c>
      <c r="E38" s="9" t="s">
        <v>216</v>
      </c>
      <c r="F38" s="9" t="s">
        <v>218</v>
      </c>
      <c r="G38" s="9" t="s">
        <v>330</v>
      </c>
      <c r="H38" s="9" t="s">
        <v>331</v>
      </c>
      <c r="I38" s="9" t="s">
        <v>332</v>
      </c>
      <c r="J38" s="28" t="s">
        <v>333</v>
      </c>
      <c r="K38" s="9">
        <v>12</v>
      </c>
      <c r="L38" s="9">
        <v>12</v>
      </c>
      <c r="M38" s="9">
        <v>240</v>
      </c>
      <c r="N38" s="9">
        <v>302</v>
      </c>
      <c r="O38" s="9">
        <v>192</v>
      </c>
      <c r="P38" s="9">
        <v>734</v>
      </c>
      <c r="Q38" s="26">
        <v>36</v>
      </c>
      <c r="R38" s="26">
        <v>54</v>
      </c>
      <c r="S38">
        <v>1</v>
      </c>
      <c r="T38">
        <v>0</v>
      </c>
      <c r="U38">
        <v>0</v>
      </c>
      <c r="V38">
        <v>1</v>
      </c>
      <c r="W38">
        <v>1</v>
      </c>
      <c r="X38">
        <v>1</v>
      </c>
      <c r="Y38"/>
      <c r="Z38">
        <v>1</v>
      </c>
      <c r="AA38">
        <v>1</v>
      </c>
      <c r="AB38">
        <v>0</v>
      </c>
      <c r="AC38">
        <v>0</v>
      </c>
      <c r="AD38">
        <v>0</v>
      </c>
      <c r="AE38">
        <v>0</v>
      </c>
      <c r="AF38">
        <v>5</v>
      </c>
      <c r="AG38" s="9">
        <v>40</v>
      </c>
      <c r="AH38" s="9">
        <v>22</v>
      </c>
      <c r="AI38" s="9">
        <v>12</v>
      </c>
      <c r="AJ38" s="9">
        <v>10</v>
      </c>
      <c r="AK38" s="9">
        <v>0</v>
      </c>
      <c r="AL38" s="9">
        <v>1</v>
      </c>
      <c r="AM38" s="9">
        <v>11</v>
      </c>
      <c r="AN38" s="9">
        <v>3</v>
      </c>
      <c r="AO38" s="9">
        <v>1</v>
      </c>
      <c r="AP38" s="9">
        <v>6</v>
      </c>
      <c r="AQ38" s="8">
        <v>7</v>
      </c>
      <c r="AR38" s="8">
        <v>12</v>
      </c>
      <c r="AS38" s="8">
        <v>6</v>
      </c>
      <c r="AT38">
        <v>1</v>
      </c>
      <c r="AU38">
        <v>3</v>
      </c>
      <c r="AV38">
        <v>135</v>
      </c>
      <c r="AW38">
        <v>2</v>
      </c>
      <c r="AX38">
        <f t="shared" si="1"/>
        <v>130</v>
      </c>
      <c r="AY38" s="8">
        <v>0</v>
      </c>
      <c r="AZ38" s="8">
        <v>0</v>
      </c>
      <c r="BA38" s="8">
        <v>0</v>
      </c>
      <c r="BB38" s="9">
        <v>1</v>
      </c>
      <c r="BC38" s="27">
        <v>0</v>
      </c>
      <c r="BD38">
        <v>1</v>
      </c>
      <c r="BE38">
        <v>1</v>
      </c>
      <c r="BF38">
        <v>0</v>
      </c>
    </row>
    <row r="39" spans="1:58" x14ac:dyDescent="0.25">
      <c r="A39" s="9" t="s">
        <v>330</v>
      </c>
      <c r="B39" s="9" t="s">
        <v>331</v>
      </c>
      <c r="C39" s="9" t="s">
        <v>60</v>
      </c>
      <c r="D39" s="9" t="s">
        <v>61</v>
      </c>
      <c r="E39" s="9" t="s">
        <v>216</v>
      </c>
      <c r="F39" s="9" t="s">
        <v>218</v>
      </c>
      <c r="G39" s="9" t="s">
        <v>330</v>
      </c>
      <c r="H39" s="9" t="s">
        <v>331</v>
      </c>
      <c r="I39" s="9" t="s">
        <v>412</v>
      </c>
      <c r="J39" s="28" t="s">
        <v>413</v>
      </c>
      <c r="K39" s="9">
        <v>9</v>
      </c>
      <c r="L39" s="9">
        <v>9</v>
      </c>
      <c r="M39" s="9">
        <v>209</v>
      </c>
      <c r="N39" s="9">
        <v>284</v>
      </c>
      <c r="O39" s="9">
        <v>224</v>
      </c>
      <c r="P39" s="9">
        <v>717</v>
      </c>
      <c r="Q39" s="26">
        <v>37</v>
      </c>
      <c r="R39" s="26">
        <v>56</v>
      </c>
      <c r="S39">
        <v>1</v>
      </c>
      <c r="T39">
        <v>0</v>
      </c>
      <c r="U39">
        <v>0</v>
      </c>
      <c r="V39">
        <v>1</v>
      </c>
      <c r="W39">
        <v>1</v>
      </c>
      <c r="X39">
        <v>1</v>
      </c>
      <c r="Y39"/>
      <c r="Z39">
        <v>1</v>
      </c>
      <c r="AA39">
        <v>1</v>
      </c>
      <c r="AB39">
        <v>0</v>
      </c>
      <c r="AC39">
        <v>0</v>
      </c>
      <c r="AD39">
        <v>0</v>
      </c>
      <c r="AE39">
        <v>0</v>
      </c>
      <c r="AF39">
        <v>5</v>
      </c>
      <c r="AG39" s="9">
        <v>32</v>
      </c>
      <c r="AH39" s="9">
        <v>15</v>
      </c>
      <c r="AI39" s="9">
        <v>10</v>
      </c>
      <c r="AJ39" s="9">
        <v>5</v>
      </c>
      <c r="AK39" s="9">
        <v>0</v>
      </c>
      <c r="AL39" s="9">
        <v>0</v>
      </c>
      <c r="AM39" s="9">
        <v>10</v>
      </c>
      <c r="AN39" s="9">
        <v>0</v>
      </c>
      <c r="AO39" s="9">
        <v>2</v>
      </c>
      <c r="AP39" s="9">
        <v>3</v>
      </c>
      <c r="AQ39" s="8">
        <v>5</v>
      </c>
      <c r="AR39" s="8">
        <v>12</v>
      </c>
      <c r="AS39" s="8">
        <v>3</v>
      </c>
      <c r="AT39">
        <v>1</v>
      </c>
      <c r="AU39">
        <v>3</v>
      </c>
      <c r="AV39">
        <v>135</v>
      </c>
      <c r="AW39">
        <v>1</v>
      </c>
      <c r="AX39">
        <f t="shared" si="1"/>
        <v>65</v>
      </c>
      <c r="AY39" s="8">
        <v>0</v>
      </c>
      <c r="AZ39" s="8">
        <v>0</v>
      </c>
      <c r="BA39" s="8">
        <v>0</v>
      </c>
      <c r="BB39" s="9">
        <v>0</v>
      </c>
      <c r="BC39" s="27">
        <v>0</v>
      </c>
      <c r="BD39">
        <v>1</v>
      </c>
      <c r="BE39">
        <v>1</v>
      </c>
      <c r="BF39">
        <v>0</v>
      </c>
    </row>
    <row r="40" spans="1:58" x14ac:dyDescent="0.25">
      <c r="A40" s="9" t="s">
        <v>330</v>
      </c>
      <c r="B40" s="9" t="s">
        <v>331</v>
      </c>
      <c r="C40" s="9" t="s">
        <v>60</v>
      </c>
      <c r="D40" s="9" t="s">
        <v>61</v>
      </c>
      <c r="E40" s="9" t="s">
        <v>216</v>
      </c>
      <c r="F40" s="9" t="s">
        <v>218</v>
      </c>
      <c r="G40" s="9" t="s">
        <v>216</v>
      </c>
      <c r="H40" s="9" t="s">
        <v>217</v>
      </c>
      <c r="I40" s="9" t="s">
        <v>400</v>
      </c>
      <c r="J40" s="28" t="s">
        <v>401</v>
      </c>
      <c r="K40" s="9">
        <v>12</v>
      </c>
      <c r="L40" s="9">
        <v>12</v>
      </c>
      <c r="M40" s="9">
        <v>244</v>
      </c>
      <c r="N40" s="9">
        <v>359</v>
      </c>
      <c r="O40" s="9">
        <v>171</v>
      </c>
      <c r="P40" s="9">
        <v>774</v>
      </c>
      <c r="Q40" s="26">
        <v>38</v>
      </c>
      <c r="R40" s="26">
        <v>57</v>
      </c>
      <c r="S40">
        <v>1</v>
      </c>
      <c r="T40">
        <v>0</v>
      </c>
      <c r="U40">
        <v>0</v>
      </c>
      <c r="V40">
        <v>1</v>
      </c>
      <c r="W40">
        <v>1</v>
      </c>
      <c r="X40">
        <v>1</v>
      </c>
      <c r="Y40"/>
      <c r="Z40">
        <v>1</v>
      </c>
      <c r="AA40">
        <v>1</v>
      </c>
      <c r="AB40">
        <v>0</v>
      </c>
      <c r="AC40">
        <v>0</v>
      </c>
      <c r="AD40">
        <v>0</v>
      </c>
      <c r="AE40">
        <v>0</v>
      </c>
      <c r="AF40">
        <v>5</v>
      </c>
      <c r="AG40" s="9">
        <v>27</v>
      </c>
      <c r="AH40" s="9">
        <v>18</v>
      </c>
      <c r="AI40" s="9">
        <v>10</v>
      </c>
      <c r="AJ40" s="9">
        <v>8</v>
      </c>
      <c r="AK40" s="9">
        <v>0</v>
      </c>
      <c r="AL40" s="9">
        <v>1</v>
      </c>
      <c r="AM40" s="9">
        <v>9</v>
      </c>
      <c r="AN40" s="9">
        <v>1</v>
      </c>
      <c r="AO40" s="9">
        <v>0</v>
      </c>
      <c r="AP40" s="9">
        <v>7</v>
      </c>
      <c r="AQ40" s="8">
        <v>7</v>
      </c>
      <c r="AR40" s="8">
        <v>12</v>
      </c>
      <c r="AS40" s="8">
        <v>6</v>
      </c>
      <c r="AT40">
        <v>1</v>
      </c>
      <c r="AU40">
        <v>3</v>
      </c>
      <c r="AV40">
        <v>135</v>
      </c>
      <c r="AW40">
        <v>1</v>
      </c>
      <c r="AX40">
        <f t="shared" si="1"/>
        <v>65</v>
      </c>
      <c r="AY40" s="8">
        <v>0</v>
      </c>
      <c r="AZ40" s="8">
        <v>0</v>
      </c>
      <c r="BA40" s="8">
        <v>0</v>
      </c>
      <c r="BB40" s="9">
        <v>0</v>
      </c>
      <c r="BC40" s="27">
        <v>0</v>
      </c>
      <c r="BD40">
        <v>1</v>
      </c>
      <c r="BE40">
        <v>1</v>
      </c>
      <c r="BF40">
        <v>0</v>
      </c>
    </row>
    <row r="41" spans="1:58" x14ac:dyDescent="0.25">
      <c r="A41" s="9" t="s">
        <v>245</v>
      </c>
      <c r="B41" s="9" t="s">
        <v>246</v>
      </c>
      <c r="C41" s="9" t="s">
        <v>60</v>
      </c>
      <c r="D41" s="9" t="s">
        <v>61</v>
      </c>
      <c r="E41" s="9" t="s">
        <v>98</v>
      </c>
      <c r="F41" s="9" t="s">
        <v>100</v>
      </c>
      <c r="G41" s="9" t="s">
        <v>98</v>
      </c>
      <c r="H41" s="9" t="s">
        <v>99</v>
      </c>
      <c r="I41" s="9" t="s">
        <v>247</v>
      </c>
      <c r="J41" s="28" t="s">
        <v>248</v>
      </c>
      <c r="K41" s="9">
        <v>12</v>
      </c>
      <c r="L41" s="9">
        <v>11</v>
      </c>
      <c r="M41" s="9">
        <v>308</v>
      </c>
      <c r="N41" s="9">
        <v>372</v>
      </c>
      <c r="O41" s="9">
        <v>320</v>
      </c>
      <c r="P41" s="9">
        <v>1000</v>
      </c>
      <c r="Q41" s="26">
        <v>39</v>
      </c>
      <c r="R41" s="26">
        <v>59</v>
      </c>
      <c r="S41">
        <v>1</v>
      </c>
      <c r="T41">
        <v>0</v>
      </c>
      <c r="U41">
        <v>0</v>
      </c>
      <c r="V41">
        <v>1</v>
      </c>
      <c r="W41">
        <v>1</v>
      </c>
      <c r="X41">
        <v>1</v>
      </c>
      <c r="Y41"/>
      <c r="Z41">
        <v>1</v>
      </c>
      <c r="AA41">
        <v>1</v>
      </c>
      <c r="AB41">
        <v>0</v>
      </c>
      <c r="AC41">
        <v>1</v>
      </c>
      <c r="AD41">
        <v>0</v>
      </c>
      <c r="AE41">
        <v>0</v>
      </c>
      <c r="AF41">
        <v>5</v>
      </c>
      <c r="AG41" s="9">
        <v>33</v>
      </c>
      <c r="AH41" s="9">
        <v>18</v>
      </c>
      <c r="AI41" s="9">
        <v>12</v>
      </c>
      <c r="AJ41" s="9">
        <v>6</v>
      </c>
      <c r="AK41" s="9">
        <v>2</v>
      </c>
      <c r="AL41" s="9">
        <v>0</v>
      </c>
      <c r="AM41" s="9">
        <v>10</v>
      </c>
      <c r="AN41" s="9">
        <v>2</v>
      </c>
      <c r="AO41" s="9">
        <v>0</v>
      </c>
      <c r="AP41" s="9">
        <v>4</v>
      </c>
      <c r="AQ41" s="8">
        <v>4</v>
      </c>
      <c r="AR41" s="8">
        <v>13</v>
      </c>
      <c r="AS41" s="8">
        <v>4</v>
      </c>
      <c r="AT41">
        <v>1</v>
      </c>
      <c r="AU41">
        <v>3</v>
      </c>
      <c r="AV41">
        <v>135</v>
      </c>
      <c r="AW41">
        <v>1</v>
      </c>
      <c r="AX41">
        <f t="shared" si="1"/>
        <v>65</v>
      </c>
      <c r="AY41" s="8">
        <v>1</v>
      </c>
      <c r="AZ41" s="8">
        <v>1</v>
      </c>
      <c r="BA41" s="8">
        <v>0</v>
      </c>
      <c r="BB41" s="9">
        <v>2</v>
      </c>
      <c r="BC41" s="27">
        <v>0</v>
      </c>
      <c r="BD41">
        <v>1</v>
      </c>
      <c r="BE41">
        <v>1</v>
      </c>
      <c r="BF41">
        <v>0</v>
      </c>
    </row>
    <row r="42" spans="1:58" x14ac:dyDescent="0.25">
      <c r="A42" s="9" t="s">
        <v>245</v>
      </c>
      <c r="B42" s="9" t="s">
        <v>246</v>
      </c>
      <c r="C42" s="9" t="s">
        <v>60</v>
      </c>
      <c r="D42" s="9" t="s">
        <v>61</v>
      </c>
      <c r="E42" s="9" t="s">
        <v>98</v>
      </c>
      <c r="F42" s="9" t="s">
        <v>100</v>
      </c>
      <c r="G42" s="9" t="s">
        <v>245</v>
      </c>
      <c r="H42" s="9" t="s">
        <v>246</v>
      </c>
      <c r="I42" s="9" t="s">
        <v>392</v>
      </c>
      <c r="J42" s="28" t="s">
        <v>393</v>
      </c>
      <c r="K42" s="9">
        <v>11</v>
      </c>
      <c r="L42" s="9">
        <v>11</v>
      </c>
      <c r="M42" s="9">
        <v>283</v>
      </c>
      <c r="N42" s="9">
        <v>358</v>
      </c>
      <c r="O42" s="9">
        <v>227</v>
      </c>
      <c r="P42" s="9">
        <v>868</v>
      </c>
      <c r="Q42" s="26">
        <v>39</v>
      </c>
      <c r="R42" s="26">
        <v>59</v>
      </c>
      <c r="S42">
        <v>1</v>
      </c>
      <c r="T42">
        <v>0</v>
      </c>
      <c r="U42">
        <v>0</v>
      </c>
      <c r="V42">
        <v>1</v>
      </c>
      <c r="W42">
        <v>1</v>
      </c>
      <c r="X42">
        <v>1</v>
      </c>
      <c r="Y42"/>
      <c r="Z42">
        <v>1</v>
      </c>
      <c r="AA42">
        <v>1</v>
      </c>
      <c r="AB42">
        <v>0</v>
      </c>
      <c r="AC42">
        <v>0</v>
      </c>
      <c r="AD42">
        <v>0</v>
      </c>
      <c r="AE42">
        <v>0</v>
      </c>
      <c r="AF42">
        <v>5</v>
      </c>
      <c r="AG42" s="9">
        <v>37</v>
      </c>
      <c r="AH42" s="9">
        <v>19</v>
      </c>
      <c r="AI42" s="9">
        <v>12</v>
      </c>
      <c r="AJ42" s="9">
        <v>7</v>
      </c>
      <c r="AK42" s="9">
        <v>2</v>
      </c>
      <c r="AL42" s="9">
        <v>0</v>
      </c>
      <c r="AM42" s="9">
        <v>10</v>
      </c>
      <c r="AN42" s="9">
        <v>2</v>
      </c>
      <c r="AO42" s="9">
        <v>3</v>
      </c>
      <c r="AP42" s="9">
        <v>2</v>
      </c>
      <c r="AQ42" s="8">
        <v>5</v>
      </c>
      <c r="AR42" s="8">
        <v>11</v>
      </c>
      <c r="AS42" s="8">
        <v>4</v>
      </c>
      <c r="AT42">
        <v>1</v>
      </c>
      <c r="AU42">
        <v>3</v>
      </c>
      <c r="AV42">
        <v>135</v>
      </c>
      <c r="AW42">
        <v>2</v>
      </c>
      <c r="AX42">
        <f t="shared" si="1"/>
        <v>130</v>
      </c>
      <c r="AY42" s="8">
        <v>0</v>
      </c>
      <c r="AZ42" s="8">
        <v>2</v>
      </c>
      <c r="BA42" s="8">
        <v>0</v>
      </c>
      <c r="BB42" s="9">
        <v>2</v>
      </c>
      <c r="BC42" s="27">
        <v>0</v>
      </c>
      <c r="BD42">
        <v>1</v>
      </c>
      <c r="BE42">
        <v>1</v>
      </c>
      <c r="BF42">
        <v>0</v>
      </c>
    </row>
    <row r="43" spans="1:58" x14ac:dyDescent="0.25">
      <c r="A43" s="9" t="s">
        <v>245</v>
      </c>
      <c r="B43" s="9" t="s">
        <v>246</v>
      </c>
      <c r="C43" s="9" t="s">
        <v>60</v>
      </c>
      <c r="D43" s="9" t="s">
        <v>61</v>
      </c>
      <c r="E43" s="9" t="s">
        <v>98</v>
      </c>
      <c r="F43" s="9" t="s">
        <v>100</v>
      </c>
      <c r="G43" s="9" t="s">
        <v>245</v>
      </c>
      <c r="H43" s="9" t="s">
        <v>246</v>
      </c>
      <c r="I43" s="9" t="s">
        <v>362</v>
      </c>
      <c r="J43" s="28" t="s">
        <v>363</v>
      </c>
      <c r="K43" s="9">
        <v>9</v>
      </c>
      <c r="L43" s="9">
        <v>9</v>
      </c>
      <c r="M43" s="9">
        <v>180</v>
      </c>
      <c r="N43" s="9">
        <v>337</v>
      </c>
      <c r="O43" s="9">
        <v>205</v>
      </c>
      <c r="P43" s="9">
        <v>722</v>
      </c>
      <c r="Q43" s="26">
        <v>39</v>
      </c>
      <c r="R43" s="26">
        <v>59</v>
      </c>
      <c r="S43">
        <v>1</v>
      </c>
      <c r="T43">
        <v>0</v>
      </c>
      <c r="U43">
        <v>0</v>
      </c>
      <c r="V43">
        <v>1</v>
      </c>
      <c r="W43">
        <v>1</v>
      </c>
      <c r="X43">
        <v>1</v>
      </c>
      <c r="Y43"/>
      <c r="Z43">
        <v>1</v>
      </c>
      <c r="AA43">
        <v>1</v>
      </c>
      <c r="AB43">
        <v>0</v>
      </c>
      <c r="AC43">
        <v>0</v>
      </c>
      <c r="AD43">
        <v>0</v>
      </c>
      <c r="AE43">
        <v>0</v>
      </c>
      <c r="AF43">
        <v>5</v>
      </c>
      <c r="AG43" s="9">
        <v>17</v>
      </c>
      <c r="AH43" s="9">
        <v>12</v>
      </c>
      <c r="AI43" s="9">
        <v>9</v>
      </c>
      <c r="AJ43" s="9">
        <v>3</v>
      </c>
      <c r="AK43" s="9">
        <v>1</v>
      </c>
      <c r="AL43" s="9">
        <v>0</v>
      </c>
      <c r="AM43" s="9">
        <v>8</v>
      </c>
      <c r="AN43" s="9">
        <v>0</v>
      </c>
      <c r="AO43" s="9">
        <v>0</v>
      </c>
      <c r="AP43" s="9">
        <v>3</v>
      </c>
      <c r="AQ43" s="8">
        <v>3</v>
      </c>
      <c r="AR43" s="8">
        <v>9</v>
      </c>
      <c r="AS43" s="8">
        <v>3</v>
      </c>
      <c r="AT43">
        <v>1</v>
      </c>
      <c r="AU43">
        <v>4</v>
      </c>
      <c r="AV43">
        <v>180</v>
      </c>
      <c r="AW43">
        <v>1</v>
      </c>
      <c r="AX43">
        <f t="shared" si="1"/>
        <v>65</v>
      </c>
      <c r="AY43" s="8">
        <v>1</v>
      </c>
      <c r="AZ43" s="8">
        <v>1</v>
      </c>
      <c r="BA43" s="8">
        <v>1</v>
      </c>
      <c r="BB43" s="9">
        <v>2</v>
      </c>
      <c r="BC43" s="27">
        <v>0</v>
      </c>
      <c r="BD43">
        <v>1</v>
      </c>
      <c r="BE43">
        <v>1</v>
      </c>
      <c r="BF43">
        <v>0</v>
      </c>
    </row>
    <row r="44" spans="1:58" x14ac:dyDescent="0.25">
      <c r="A44" s="9" t="s">
        <v>245</v>
      </c>
      <c r="B44" s="9" t="s">
        <v>246</v>
      </c>
      <c r="C44" s="9" t="s">
        <v>60</v>
      </c>
      <c r="D44" s="9" t="s">
        <v>61</v>
      </c>
      <c r="E44" s="9" t="s">
        <v>98</v>
      </c>
      <c r="F44" s="9" t="s">
        <v>100</v>
      </c>
      <c r="G44" s="9" t="s">
        <v>245</v>
      </c>
      <c r="H44" s="9" t="s">
        <v>246</v>
      </c>
      <c r="I44" s="9" t="s">
        <v>374</v>
      </c>
      <c r="J44" s="28" t="s">
        <v>375</v>
      </c>
      <c r="K44" s="9">
        <v>11</v>
      </c>
      <c r="L44" s="9">
        <v>11</v>
      </c>
      <c r="M44" s="9">
        <v>348</v>
      </c>
      <c r="N44" s="9">
        <v>441</v>
      </c>
      <c r="O44" s="9">
        <v>188</v>
      </c>
      <c r="P44" s="9">
        <v>977</v>
      </c>
      <c r="Q44" s="26">
        <v>39</v>
      </c>
      <c r="R44" s="26">
        <v>59</v>
      </c>
      <c r="S44">
        <v>1</v>
      </c>
      <c r="T44">
        <v>0</v>
      </c>
      <c r="U44">
        <v>0</v>
      </c>
      <c r="V44">
        <v>1</v>
      </c>
      <c r="W44">
        <v>1</v>
      </c>
      <c r="X44">
        <v>1</v>
      </c>
      <c r="Y44"/>
      <c r="Z44">
        <v>1</v>
      </c>
      <c r="AA44">
        <v>1</v>
      </c>
      <c r="AB44">
        <v>0</v>
      </c>
      <c r="AC44">
        <v>0</v>
      </c>
      <c r="AD44">
        <v>0</v>
      </c>
      <c r="AE44">
        <v>0</v>
      </c>
      <c r="AF44">
        <v>5</v>
      </c>
      <c r="AG44" s="9">
        <v>46</v>
      </c>
      <c r="AH44" s="9">
        <v>21</v>
      </c>
      <c r="AI44" s="9">
        <v>14</v>
      </c>
      <c r="AJ44" s="9">
        <v>7</v>
      </c>
      <c r="AK44" s="9">
        <v>3</v>
      </c>
      <c r="AL44" s="9">
        <v>0</v>
      </c>
      <c r="AM44" s="9">
        <v>11</v>
      </c>
      <c r="AN44" s="9">
        <v>1</v>
      </c>
      <c r="AO44" s="9">
        <v>1</v>
      </c>
      <c r="AP44" s="9">
        <v>5</v>
      </c>
      <c r="AQ44" s="8">
        <v>6</v>
      </c>
      <c r="AR44" s="8">
        <v>11</v>
      </c>
      <c r="AS44" s="8">
        <v>5</v>
      </c>
      <c r="AT44">
        <v>1</v>
      </c>
      <c r="AU44">
        <v>3</v>
      </c>
      <c r="AV44">
        <v>135</v>
      </c>
      <c r="AW44">
        <v>1</v>
      </c>
      <c r="AX44">
        <f t="shared" si="1"/>
        <v>65</v>
      </c>
      <c r="AY44" s="8">
        <v>2</v>
      </c>
      <c r="AZ44" s="8">
        <v>1</v>
      </c>
      <c r="BA44" s="8">
        <v>1</v>
      </c>
      <c r="BB44" s="9">
        <v>5</v>
      </c>
      <c r="BC44" s="27">
        <v>0</v>
      </c>
      <c r="BD44">
        <v>1</v>
      </c>
      <c r="BE44">
        <v>1</v>
      </c>
      <c r="BF44">
        <v>0</v>
      </c>
    </row>
    <row r="45" spans="1:58" x14ac:dyDescent="0.25">
      <c r="A45" s="9" t="s">
        <v>245</v>
      </c>
      <c r="B45" s="9" t="s">
        <v>246</v>
      </c>
      <c r="C45" s="9" t="s">
        <v>60</v>
      </c>
      <c r="D45" s="9" t="s">
        <v>61</v>
      </c>
      <c r="E45" s="9" t="s">
        <v>98</v>
      </c>
      <c r="F45" s="9" t="s">
        <v>100</v>
      </c>
      <c r="G45" s="9" t="s">
        <v>245</v>
      </c>
      <c r="H45" s="9" t="s">
        <v>246</v>
      </c>
      <c r="I45" s="9" t="s">
        <v>302</v>
      </c>
      <c r="J45" s="28" t="s">
        <v>303</v>
      </c>
      <c r="K45" s="9">
        <v>12</v>
      </c>
      <c r="L45" s="9">
        <v>12</v>
      </c>
      <c r="M45" s="9">
        <v>281</v>
      </c>
      <c r="N45" s="9">
        <v>403</v>
      </c>
      <c r="O45" s="9">
        <v>189</v>
      </c>
      <c r="P45" s="9">
        <v>873</v>
      </c>
      <c r="Q45" s="26">
        <v>39</v>
      </c>
      <c r="R45" s="26">
        <v>59</v>
      </c>
      <c r="S45">
        <v>1</v>
      </c>
      <c r="T45">
        <v>0</v>
      </c>
      <c r="U45">
        <v>0</v>
      </c>
      <c r="V45">
        <v>1</v>
      </c>
      <c r="W45">
        <v>1</v>
      </c>
      <c r="X45">
        <v>1</v>
      </c>
      <c r="Y45"/>
      <c r="Z45">
        <v>1</v>
      </c>
      <c r="AA45">
        <v>1</v>
      </c>
      <c r="AB45">
        <v>0</v>
      </c>
      <c r="AC45">
        <v>0</v>
      </c>
      <c r="AD45">
        <v>0</v>
      </c>
      <c r="AE45">
        <v>0</v>
      </c>
      <c r="AF45">
        <v>5</v>
      </c>
      <c r="AG45" s="9">
        <v>40</v>
      </c>
      <c r="AH45" s="9">
        <v>18</v>
      </c>
      <c r="AI45" s="9">
        <v>6</v>
      </c>
      <c r="AJ45" s="9">
        <v>12</v>
      </c>
      <c r="AK45" s="9">
        <v>0</v>
      </c>
      <c r="AL45" s="9">
        <v>0</v>
      </c>
      <c r="AM45" s="9">
        <v>6</v>
      </c>
      <c r="AN45" s="9">
        <v>1</v>
      </c>
      <c r="AO45" s="9">
        <v>0</v>
      </c>
      <c r="AP45" s="9">
        <v>11</v>
      </c>
      <c r="AQ45" s="8">
        <v>11</v>
      </c>
      <c r="AR45" s="8">
        <v>11</v>
      </c>
      <c r="AS45" s="8">
        <v>7</v>
      </c>
      <c r="AT45">
        <v>1</v>
      </c>
      <c r="AU45">
        <v>3</v>
      </c>
      <c r="AV45">
        <v>135</v>
      </c>
      <c r="AW45">
        <v>1</v>
      </c>
      <c r="AX45">
        <f t="shared" si="1"/>
        <v>65</v>
      </c>
      <c r="AY45" s="8">
        <v>0</v>
      </c>
      <c r="AZ45" s="8">
        <v>0</v>
      </c>
      <c r="BA45" s="8">
        <v>0</v>
      </c>
      <c r="BB45" s="9">
        <v>1</v>
      </c>
      <c r="BC45" s="27">
        <v>0</v>
      </c>
      <c r="BD45">
        <v>1</v>
      </c>
      <c r="BE45">
        <v>1</v>
      </c>
      <c r="BF45">
        <v>0</v>
      </c>
    </row>
    <row r="46" spans="1:58" x14ac:dyDescent="0.25">
      <c r="A46" s="9" t="s">
        <v>245</v>
      </c>
      <c r="B46" s="9" t="s">
        <v>246</v>
      </c>
      <c r="C46" s="9" t="s">
        <v>60</v>
      </c>
      <c r="D46" s="9" t="s">
        <v>61</v>
      </c>
      <c r="E46" s="9" t="s">
        <v>98</v>
      </c>
      <c r="F46" s="9" t="s">
        <v>100</v>
      </c>
      <c r="G46" s="9" t="s">
        <v>245</v>
      </c>
      <c r="H46" s="9" t="s">
        <v>246</v>
      </c>
      <c r="I46" s="9" t="s">
        <v>348</v>
      </c>
      <c r="J46" s="28" t="s">
        <v>349</v>
      </c>
      <c r="K46" s="9">
        <v>11</v>
      </c>
      <c r="L46" s="9">
        <v>11</v>
      </c>
      <c r="M46" s="9">
        <v>277</v>
      </c>
      <c r="N46" s="9">
        <v>420</v>
      </c>
      <c r="O46" s="9">
        <v>171</v>
      </c>
      <c r="P46" s="9">
        <v>868</v>
      </c>
      <c r="Q46" s="26">
        <v>39</v>
      </c>
      <c r="R46" s="26">
        <v>59</v>
      </c>
      <c r="S46">
        <v>1</v>
      </c>
      <c r="T46">
        <v>0</v>
      </c>
      <c r="U46">
        <v>0</v>
      </c>
      <c r="V46">
        <v>1</v>
      </c>
      <c r="W46">
        <v>1</v>
      </c>
      <c r="X46">
        <v>1</v>
      </c>
      <c r="Y46"/>
      <c r="Z46">
        <v>1</v>
      </c>
      <c r="AA46">
        <v>1</v>
      </c>
      <c r="AB46">
        <v>0</v>
      </c>
      <c r="AC46">
        <v>0</v>
      </c>
      <c r="AD46">
        <v>0</v>
      </c>
      <c r="AE46">
        <v>0</v>
      </c>
      <c r="AF46">
        <v>5</v>
      </c>
      <c r="AG46" s="9">
        <v>34</v>
      </c>
      <c r="AH46" s="9">
        <v>17</v>
      </c>
      <c r="AI46" s="9">
        <v>11</v>
      </c>
      <c r="AJ46" s="9">
        <v>6</v>
      </c>
      <c r="AK46" s="9">
        <v>0</v>
      </c>
      <c r="AL46" s="9">
        <v>0</v>
      </c>
      <c r="AM46" s="9">
        <v>11</v>
      </c>
      <c r="AN46" s="9">
        <v>0</v>
      </c>
      <c r="AO46" s="9">
        <v>1</v>
      </c>
      <c r="AP46" s="9">
        <v>5</v>
      </c>
      <c r="AQ46" s="8">
        <v>6</v>
      </c>
      <c r="AR46" s="8">
        <v>12</v>
      </c>
      <c r="AS46" s="8">
        <v>5</v>
      </c>
      <c r="AT46">
        <v>1</v>
      </c>
      <c r="AU46">
        <v>3</v>
      </c>
      <c r="AV46">
        <v>135</v>
      </c>
      <c r="AW46">
        <v>1</v>
      </c>
      <c r="AX46">
        <f t="shared" si="1"/>
        <v>65</v>
      </c>
      <c r="AY46" s="8">
        <v>0</v>
      </c>
      <c r="AZ46" s="8">
        <v>0</v>
      </c>
      <c r="BA46" s="8">
        <v>1</v>
      </c>
      <c r="BB46" s="9">
        <v>3</v>
      </c>
      <c r="BC46" s="27">
        <v>0</v>
      </c>
      <c r="BD46">
        <v>1</v>
      </c>
      <c r="BE46">
        <v>1</v>
      </c>
      <c r="BF46">
        <v>0</v>
      </c>
    </row>
    <row r="47" spans="1:58" x14ac:dyDescent="0.25">
      <c r="A47" s="9" t="s">
        <v>153</v>
      </c>
      <c r="B47" s="9" t="s">
        <v>154</v>
      </c>
      <c r="C47" s="9" t="s">
        <v>60</v>
      </c>
      <c r="D47" s="9" t="s">
        <v>61</v>
      </c>
      <c r="E47" s="9" t="s">
        <v>98</v>
      </c>
      <c r="F47" s="9" t="s">
        <v>100</v>
      </c>
      <c r="G47" s="9" t="s">
        <v>153</v>
      </c>
      <c r="H47" s="9" t="s">
        <v>154</v>
      </c>
      <c r="I47" s="9" t="s">
        <v>340</v>
      </c>
      <c r="J47" s="28" t="s">
        <v>341</v>
      </c>
      <c r="K47" s="9">
        <v>12</v>
      </c>
      <c r="L47" s="9">
        <v>12</v>
      </c>
      <c r="M47" s="9">
        <v>352</v>
      </c>
      <c r="N47" s="9">
        <v>415</v>
      </c>
      <c r="O47" s="9">
        <v>202</v>
      </c>
      <c r="P47" s="9">
        <v>969</v>
      </c>
      <c r="Q47" s="26">
        <v>39</v>
      </c>
      <c r="R47" s="26">
        <v>59</v>
      </c>
      <c r="S47">
        <v>1</v>
      </c>
      <c r="T47">
        <v>0</v>
      </c>
      <c r="U47">
        <v>0</v>
      </c>
      <c r="V47">
        <v>1</v>
      </c>
      <c r="W47">
        <v>1</v>
      </c>
      <c r="X47">
        <v>1</v>
      </c>
      <c r="Y47"/>
      <c r="Z47">
        <v>1</v>
      </c>
      <c r="AA47">
        <v>1</v>
      </c>
      <c r="AB47">
        <v>0</v>
      </c>
      <c r="AC47">
        <v>0</v>
      </c>
      <c r="AD47">
        <v>0</v>
      </c>
      <c r="AE47">
        <v>0</v>
      </c>
      <c r="AF47">
        <v>5</v>
      </c>
      <c r="AG47" s="9">
        <v>43</v>
      </c>
      <c r="AH47" s="9">
        <v>21</v>
      </c>
      <c r="AI47" s="9">
        <v>13</v>
      </c>
      <c r="AJ47" s="9">
        <v>8</v>
      </c>
      <c r="AK47" s="9">
        <v>0</v>
      </c>
      <c r="AL47" s="9">
        <v>0</v>
      </c>
      <c r="AM47" s="9">
        <v>13</v>
      </c>
      <c r="AN47" s="9">
        <v>0</v>
      </c>
      <c r="AO47" s="9">
        <v>0</v>
      </c>
      <c r="AP47" s="9">
        <v>8</v>
      </c>
      <c r="AQ47" s="8">
        <v>8</v>
      </c>
      <c r="AR47" s="8">
        <v>17</v>
      </c>
      <c r="AS47" s="8">
        <v>8</v>
      </c>
      <c r="AT47">
        <v>1</v>
      </c>
      <c r="AU47">
        <v>3</v>
      </c>
      <c r="AV47">
        <v>135</v>
      </c>
      <c r="AW47">
        <v>1</v>
      </c>
      <c r="AX47">
        <f t="shared" si="1"/>
        <v>65</v>
      </c>
      <c r="AY47" s="8">
        <v>0</v>
      </c>
      <c r="AZ47" s="8">
        <v>0</v>
      </c>
      <c r="BA47" s="8">
        <v>0</v>
      </c>
      <c r="BB47" s="9">
        <v>0</v>
      </c>
      <c r="BC47" s="27">
        <v>0</v>
      </c>
      <c r="BD47">
        <v>1</v>
      </c>
      <c r="BE47">
        <v>1</v>
      </c>
      <c r="BF47">
        <v>0</v>
      </c>
    </row>
    <row r="48" spans="1:58" x14ac:dyDescent="0.25">
      <c r="A48" s="9" t="s">
        <v>153</v>
      </c>
      <c r="B48" s="9" t="s">
        <v>154</v>
      </c>
      <c r="C48" s="9" t="s">
        <v>60</v>
      </c>
      <c r="D48" s="9" t="s">
        <v>61</v>
      </c>
      <c r="E48" s="9" t="s">
        <v>98</v>
      </c>
      <c r="F48" s="9" t="s">
        <v>100</v>
      </c>
      <c r="G48" s="9" t="s">
        <v>153</v>
      </c>
      <c r="H48" s="9" t="s">
        <v>154</v>
      </c>
      <c r="I48" s="9" t="s">
        <v>155</v>
      </c>
      <c r="J48" s="28" t="s">
        <v>156</v>
      </c>
      <c r="K48" s="9">
        <v>16</v>
      </c>
      <c r="L48" s="9">
        <v>16</v>
      </c>
      <c r="M48" s="9">
        <v>332</v>
      </c>
      <c r="N48" s="9">
        <v>401</v>
      </c>
      <c r="O48" s="9">
        <v>201</v>
      </c>
      <c r="P48" s="9">
        <v>934</v>
      </c>
      <c r="Q48" s="26">
        <v>39</v>
      </c>
      <c r="R48" s="26">
        <v>59</v>
      </c>
      <c r="S48">
        <v>1</v>
      </c>
      <c r="T48">
        <v>0</v>
      </c>
      <c r="U48">
        <v>0</v>
      </c>
      <c r="V48">
        <v>1</v>
      </c>
      <c r="W48">
        <v>1</v>
      </c>
      <c r="X48">
        <v>1</v>
      </c>
      <c r="Y48"/>
      <c r="Z48">
        <v>1</v>
      </c>
      <c r="AA48">
        <v>1</v>
      </c>
      <c r="AB48">
        <v>0</v>
      </c>
      <c r="AC48">
        <v>0</v>
      </c>
      <c r="AD48">
        <v>0</v>
      </c>
      <c r="AE48">
        <v>0</v>
      </c>
      <c r="AF48">
        <v>5</v>
      </c>
      <c r="AG48" s="9">
        <v>37</v>
      </c>
      <c r="AH48" s="9">
        <v>25</v>
      </c>
      <c r="AI48" s="9">
        <v>19</v>
      </c>
      <c r="AJ48" s="9">
        <v>6</v>
      </c>
      <c r="AK48" s="9">
        <v>3</v>
      </c>
      <c r="AL48" s="9">
        <v>1</v>
      </c>
      <c r="AM48" s="9">
        <v>15</v>
      </c>
      <c r="AN48" s="9">
        <v>2</v>
      </c>
      <c r="AO48" s="9">
        <v>0</v>
      </c>
      <c r="AP48" s="9">
        <v>4</v>
      </c>
      <c r="AQ48" s="8">
        <v>4</v>
      </c>
      <c r="AR48" s="8">
        <v>17</v>
      </c>
      <c r="AS48" s="8">
        <v>4</v>
      </c>
      <c r="AT48">
        <v>1</v>
      </c>
      <c r="AU48">
        <v>3</v>
      </c>
      <c r="AV48">
        <v>135</v>
      </c>
      <c r="AW48">
        <v>1</v>
      </c>
      <c r="AX48">
        <f t="shared" si="1"/>
        <v>65</v>
      </c>
      <c r="AY48" s="8">
        <v>0</v>
      </c>
      <c r="AZ48" s="8">
        <v>0</v>
      </c>
      <c r="BA48" s="8">
        <v>0</v>
      </c>
      <c r="BB48" s="9">
        <v>0</v>
      </c>
      <c r="BC48" s="27">
        <v>0</v>
      </c>
      <c r="BD48">
        <v>1</v>
      </c>
      <c r="BE48">
        <v>1</v>
      </c>
      <c r="BF48">
        <v>0</v>
      </c>
    </row>
    <row r="49" spans="1:58" x14ac:dyDescent="0.25">
      <c r="A49" s="9" t="s">
        <v>82</v>
      </c>
      <c r="B49" s="9" t="s">
        <v>83</v>
      </c>
      <c r="C49" s="9" t="s">
        <v>60</v>
      </c>
      <c r="D49" s="9" t="s">
        <v>61</v>
      </c>
      <c r="E49" s="9" t="s">
        <v>71</v>
      </c>
      <c r="F49" s="9" t="s">
        <v>73</v>
      </c>
      <c r="G49" s="9" t="s">
        <v>82</v>
      </c>
      <c r="H49" s="9" t="s">
        <v>83</v>
      </c>
      <c r="I49" s="9" t="s">
        <v>151</v>
      </c>
      <c r="J49" s="28" t="s">
        <v>152</v>
      </c>
      <c r="K49" s="9">
        <v>12</v>
      </c>
      <c r="L49" s="9">
        <v>12</v>
      </c>
      <c r="M49" s="9">
        <v>283</v>
      </c>
      <c r="N49" s="9">
        <v>288</v>
      </c>
      <c r="O49" s="9">
        <v>154</v>
      </c>
      <c r="P49" s="9">
        <v>725</v>
      </c>
      <c r="Q49" s="26">
        <v>32</v>
      </c>
      <c r="R49" s="26">
        <v>48</v>
      </c>
      <c r="S49">
        <v>1</v>
      </c>
      <c r="T49">
        <v>0</v>
      </c>
      <c r="U49">
        <v>0</v>
      </c>
      <c r="V49">
        <v>1</v>
      </c>
      <c r="W49">
        <v>1</v>
      </c>
      <c r="X49">
        <v>1</v>
      </c>
      <c r="Y49"/>
      <c r="Z49">
        <v>1</v>
      </c>
      <c r="AA49">
        <v>1</v>
      </c>
      <c r="AB49">
        <v>0</v>
      </c>
      <c r="AC49">
        <v>0</v>
      </c>
      <c r="AD49">
        <v>0</v>
      </c>
      <c r="AE49">
        <v>0</v>
      </c>
      <c r="AF49">
        <v>5</v>
      </c>
      <c r="AG49" s="9">
        <v>28</v>
      </c>
      <c r="AH49" s="9">
        <v>17</v>
      </c>
      <c r="AI49" s="9">
        <v>12</v>
      </c>
      <c r="AJ49" s="9">
        <v>5</v>
      </c>
      <c r="AK49" s="9">
        <v>2</v>
      </c>
      <c r="AL49" s="9">
        <v>0</v>
      </c>
      <c r="AM49" s="9">
        <v>10</v>
      </c>
      <c r="AN49" s="9">
        <v>0</v>
      </c>
      <c r="AO49" s="9">
        <v>0</v>
      </c>
      <c r="AP49" s="9">
        <v>5</v>
      </c>
      <c r="AQ49" s="8">
        <v>5</v>
      </c>
      <c r="AR49" s="8">
        <v>9</v>
      </c>
      <c r="AS49" s="8">
        <v>5</v>
      </c>
      <c r="AT49">
        <v>1</v>
      </c>
      <c r="AU49">
        <v>3</v>
      </c>
      <c r="AV49">
        <v>135</v>
      </c>
      <c r="AW49">
        <v>2</v>
      </c>
      <c r="AX49">
        <f t="shared" si="1"/>
        <v>130</v>
      </c>
      <c r="AY49" s="8">
        <v>0</v>
      </c>
      <c r="AZ49" s="8">
        <v>0</v>
      </c>
      <c r="BA49" s="8">
        <v>1</v>
      </c>
      <c r="BB49" s="9">
        <v>2</v>
      </c>
      <c r="BC49" s="27">
        <v>0</v>
      </c>
      <c r="BD49">
        <v>1</v>
      </c>
      <c r="BE49">
        <v>1</v>
      </c>
      <c r="BF49">
        <v>0</v>
      </c>
    </row>
    <row r="50" spans="1:58" x14ac:dyDescent="0.25">
      <c r="A50" s="8" t="s">
        <v>82</v>
      </c>
      <c r="B50" s="8" t="s">
        <v>83</v>
      </c>
      <c r="C50" s="8" t="s">
        <v>60</v>
      </c>
      <c r="D50" s="8" t="s">
        <v>61</v>
      </c>
      <c r="E50" s="8" t="s">
        <v>71</v>
      </c>
      <c r="F50" s="8" t="s">
        <v>73</v>
      </c>
      <c r="G50" s="8" t="s">
        <v>82</v>
      </c>
      <c r="H50" s="8" t="s">
        <v>83</v>
      </c>
      <c r="I50" s="8" t="s">
        <v>84</v>
      </c>
      <c r="J50" s="29" t="s">
        <v>85</v>
      </c>
      <c r="K50" s="8">
        <v>11</v>
      </c>
      <c r="L50" s="8">
        <v>11</v>
      </c>
      <c r="M50" s="8">
        <v>260</v>
      </c>
      <c r="N50" s="8">
        <v>269</v>
      </c>
      <c r="O50" s="8">
        <v>182</v>
      </c>
      <c r="P50" s="8">
        <v>711</v>
      </c>
      <c r="Q50" s="26">
        <v>34</v>
      </c>
      <c r="R50" s="26">
        <v>51</v>
      </c>
      <c r="S50">
        <v>1</v>
      </c>
      <c r="T50">
        <v>0</v>
      </c>
      <c r="U50">
        <v>0</v>
      </c>
      <c r="V50">
        <v>1</v>
      </c>
      <c r="W50">
        <v>1</v>
      </c>
      <c r="X50">
        <v>1</v>
      </c>
      <c r="Y50"/>
      <c r="Z50">
        <v>1</v>
      </c>
      <c r="AA50">
        <v>1</v>
      </c>
      <c r="AB50">
        <v>0</v>
      </c>
      <c r="AC50">
        <v>0</v>
      </c>
      <c r="AD50">
        <v>0</v>
      </c>
      <c r="AE50">
        <v>0</v>
      </c>
      <c r="AF50">
        <v>5</v>
      </c>
      <c r="AG50" s="8">
        <v>28</v>
      </c>
      <c r="AH50" s="8">
        <v>16</v>
      </c>
      <c r="AI50" s="8">
        <v>12</v>
      </c>
      <c r="AJ50" s="8">
        <v>4</v>
      </c>
      <c r="AK50" s="8">
        <v>2</v>
      </c>
      <c r="AL50" s="8">
        <v>0</v>
      </c>
      <c r="AM50" s="8">
        <v>10</v>
      </c>
      <c r="AN50" s="8">
        <v>1</v>
      </c>
      <c r="AO50" s="8">
        <v>0</v>
      </c>
      <c r="AP50" s="8">
        <v>3</v>
      </c>
      <c r="AQ50" s="8">
        <v>3</v>
      </c>
      <c r="AR50" s="8">
        <v>12</v>
      </c>
      <c r="AS50" s="8">
        <v>3</v>
      </c>
      <c r="AT50">
        <v>1</v>
      </c>
      <c r="AU50">
        <v>3</v>
      </c>
      <c r="AV50">
        <v>135</v>
      </c>
      <c r="AW50">
        <v>1</v>
      </c>
      <c r="AX50">
        <f t="shared" si="1"/>
        <v>65</v>
      </c>
      <c r="AY50" s="8">
        <v>0</v>
      </c>
      <c r="AZ50" s="8">
        <v>0</v>
      </c>
      <c r="BA50" s="8">
        <v>0</v>
      </c>
      <c r="BB50" s="8">
        <v>0</v>
      </c>
      <c r="BC50" s="27">
        <v>0</v>
      </c>
      <c r="BD50">
        <v>1</v>
      </c>
      <c r="BE50">
        <v>1</v>
      </c>
      <c r="BF50">
        <v>0</v>
      </c>
    </row>
    <row r="51" spans="1:58" x14ac:dyDescent="0.25">
      <c r="A51" s="9" t="s">
        <v>82</v>
      </c>
      <c r="B51" s="9" t="s">
        <v>83</v>
      </c>
      <c r="C51" s="9" t="s">
        <v>60</v>
      </c>
      <c r="D51" s="9" t="s">
        <v>61</v>
      </c>
      <c r="E51" s="9" t="s">
        <v>71</v>
      </c>
      <c r="F51" s="9" t="s">
        <v>73</v>
      </c>
      <c r="G51" s="9" t="s">
        <v>82</v>
      </c>
      <c r="H51" s="9" t="s">
        <v>83</v>
      </c>
      <c r="I51" s="9" t="s">
        <v>183</v>
      </c>
      <c r="J51" s="28" t="s">
        <v>184</v>
      </c>
      <c r="K51" s="9">
        <v>12</v>
      </c>
      <c r="L51" s="9">
        <v>12</v>
      </c>
      <c r="M51" s="9">
        <v>219</v>
      </c>
      <c r="N51" s="9">
        <v>270</v>
      </c>
      <c r="O51" s="9">
        <v>145</v>
      </c>
      <c r="P51" s="9">
        <v>634</v>
      </c>
      <c r="Q51" s="26">
        <v>32</v>
      </c>
      <c r="R51" s="26">
        <v>48</v>
      </c>
      <c r="S51">
        <v>1</v>
      </c>
      <c r="T51">
        <v>0</v>
      </c>
      <c r="U51">
        <v>0</v>
      </c>
      <c r="V51">
        <v>1</v>
      </c>
      <c r="W51">
        <v>1</v>
      </c>
      <c r="X51">
        <v>1</v>
      </c>
      <c r="Y51"/>
      <c r="Z51">
        <v>1</v>
      </c>
      <c r="AA51">
        <v>1</v>
      </c>
      <c r="AB51">
        <v>0</v>
      </c>
      <c r="AC51">
        <v>0</v>
      </c>
      <c r="AD51">
        <v>0</v>
      </c>
      <c r="AE51">
        <v>0</v>
      </c>
      <c r="AF51">
        <v>5</v>
      </c>
      <c r="AG51" s="9">
        <v>27</v>
      </c>
      <c r="AH51" s="9">
        <v>17</v>
      </c>
      <c r="AI51" s="9">
        <v>10</v>
      </c>
      <c r="AJ51" s="9">
        <v>7</v>
      </c>
      <c r="AK51" s="9">
        <v>0</v>
      </c>
      <c r="AL51" s="9">
        <v>0</v>
      </c>
      <c r="AM51" s="9">
        <v>10</v>
      </c>
      <c r="AN51" s="9">
        <v>1</v>
      </c>
      <c r="AO51" s="9">
        <v>0</v>
      </c>
      <c r="AP51" s="9">
        <v>6</v>
      </c>
      <c r="AQ51" s="8">
        <v>6</v>
      </c>
      <c r="AR51" s="8">
        <v>11</v>
      </c>
      <c r="AS51" s="8">
        <v>6</v>
      </c>
      <c r="AT51">
        <v>1</v>
      </c>
      <c r="AU51">
        <v>4</v>
      </c>
      <c r="AV51">
        <v>180</v>
      </c>
      <c r="AW51">
        <v>1</v>
      </c>
      <c r="AX51">
        <f t="shared" si="1"/>
        <v>65</v>
      </c>
      <c r="AY51" s="8">
        <v>0</v>
      </c>
      <c r="AZ51" s="8">
        <v>0</v>
      </c>
      <c r="BA51" s="8">
        <v>0</v>
      </c>
      <c r="BB51" s="9">
        <v>0</v>
      </c>
      <c r="BC51" s="27">
        <v>0</v>
      </c>
      <c r="BD51">
        <v>1</v>
      </c>
      <c r="BE51">
        <v>1</v>
      </c>
      <c r="BF51">
        <v>0</v>
      </c>
    </row>
    <row r="52" spans="1:58" x14ac:dyDescent="0.25">
      <c r="A52" s="9" t="s">
        <v>197</v>
      </c>
      <c r="B52" s="9" t="s">
        <v>198</v>
      </c>
      <c r="C52" s="9" t="s">
        <v>60</v>
      </c>
      <c r="D52" s="9" t="s">
        <v>61</v>
      </c>
      <c r="E52" s="9" t="s">
        <v>199</v>
      </c>
      <c r="F52" s="9" t="s">
        <v>200</v>
      </c>
      <c r="G52" s="9" t="s">
        <v>197</v>
      </c>
      <c r="H52" s="9" t="s">
        <v>198</v>
      </c>
      <c r="I52" s="9" t="s">
        <v>292</v>
      </c>
      <c r="J52" s="28" t="s">
        <v>293</v>
      </c>
      <c r="K52" s="9">
        <v>9</v>
      </c>
      <c r="L52" s="9">
        <v>9</v>
      </c>
      <c r="M52" s="9">
        <v>263</v>
      </c>
      <c r="N52" s="9">
        <v>362</v>
      </c>
      <c r="O52" s="9">
        <v>244</v>
      </c>
      <c r="P52" s="9">
        <v>869</v>
      </c>
      <c r="Q52" s="26">
        <v>39</v>
      </c>
      <c r="R52" s="26">
        <v>59</v>
      </c>
      <c r="S52">
        <v>1</v>
      </c>
      <c r="T52">
        <v>0</v>
      </c>
      <c r="U52">
        <v>0</v>
      </c>
      <c r="V52">
        <v>1</v>
      </c>
      <c r="W52">
        <v>1</v>
      </c>
      <c r="X52">
        <v>1</v>
      </c>
      <c r="Y52"/>
      <c r="Z52">
        <v>1</v>
      </c>
      <c r="AA52">
        <v>1</v>
      </c>
      <c r="AB52">
        <v>0</v>
      </c>
      <c r="AC52">
        <v>1</v>
      </c>
      <c r="AD52">
        <v>0</v>
      </c>
      <c r="AE52">
        <v>0</v>
      </c>
      <c r="AF52">
        <v>5</v>
      </c>
      <c r="AG52" s="9">
        <v>27</v>
      </c>
      <c r="AH52" s="9">
        <v>14</v>
      </c>
      <c r="AI52" s="9">
        <v>10</v>
      </c>
      <c r="AJ52" s="9">
        <v>4</v>
      </c>
      <c r="AK52" s="9">
        <v>1</v>
      </c>
      <c r="AL52" s="9">
        <v>0</v>
      </c>
      <c r="AM52" s="9">
        <v>9</v>
      </c>
      <c r="AN52" s="9">
        <v>0</v>
      </c>
      <c r="AO52" s="9">
        <v>2</v>
      </c>
      <c r="AP52" s="9">
        <v>2</v>
      </c>
      <c r="AQ52" s="8">
        <v>3</v>
      </c>
      <c r="AR52" s="8">
        <v>11</v>
      </c>
      <c r="AS52" s="8">
        <v>3</v>
      </c>
      <c r="AT52">
        <v>1</v>
      </c>
      <c r="AU52">
        <v>3</v>
      </c>
      <c r="AV52">
        <v>135</v>
      </c>
      <c r="AW52">
        <v>1</v>
      </c>
      <c r="AX52">
        <f t="shared" si="1"/>
        <v>65</v>
      </c>
      <c r="AY52" s="8">
        <v>0</v>
      </c>
      <c r="AZ52" s="8">
        <v>0</v>
      </c>
      <c r="BA52" s="8">
        <v>0</v>
      </c>
      <c r="BB52" s="9">
        <v>1</v>
      </c>
      <c r="BC52" s="27">
        <v>0</v>
      </c>
      <c r="BD52">
        <v>1</v>
      </c>
      <c r="BE52">
        <v>1</v>
      </c>
      <c r="BF52">
        <v>0</v>
      </c>
    </row>
    <row r="53" spans="1:58" x14ac:dyDescent="0.25">
      <c r="A53" s="9" t="s">
        <v>197</v>
      </c>
      <c r="B53" s="9" t="s">
        <v>198</v>
      </c>
      <c r="C53" s="9" t="s">
        <v>60</v>
      </c>
      <c r="D53" s="9" t="s">
        <v>61</v>
      </c>
      <c r="E53" s="9" t="s">
        <v>199</v>
      </c>
      <c r="F53" s="9" t="s">
        <v>200</v>
      </c>
      <c r="G53" s="9" t="s">
        <v>197</v>
      </c>
      <c r="H53" s="9" t="s">
        <v>198</v>
      </c>
      <c r="I53" s="9" t="s">
        <v>210</v>
      </c>
      <c r="J53" s="28" t="s">
        <v>211</v>
      </c>
      <c r="K53" s="9">
        <v>8</v>
      </c>
      <c r="L53" s="9">
        <v>8</v>
      </c>
      <c r="M53" s="9">
        <v>226</v>
      </c>
      <c r="N53" s="9">
        <v>283</v>
      </c>
      <c r="O53" s="9">
        <v>168</v>
      </c>
      <c r="P53" s="9">
        <v>677</v>
      </c>
      <c r="Q53" s="26">
        <v>34</v>
      </c>
      <c r="R53" s="26">
        <v>51</v>
      </c>
      <c r="S53">
        <v>1</v>
      </c>
      <c r="T53">
        <v>0</v>
      </c>
      <c r="U53">
        <v>0</v>
      </c>
      <c r="V53">
        <v>1</v>
      </c>
      <c r="W53">
        <v>1</v>
      </c>
      <c r="X53">
        <v>1</v>
      </c>
      <c r="Y53"/>
      <c r="Z53">
        <v>1</v>
      </c>
      <c r="AA53">
        <v>1</v>
      </c>
      <c r="AB53">
        <v>0</v>
      </c>
      <c r="AC53">
        <v>0</v>
      </c>
      <c r="AD53">
        <v>0</v>
      </c>
      <c r="AE53">
        <v>0</v>
      </c>
      <c r="AF53">
        <v>5</v>
      </c>
      <c r="AG53" s="9">
        <v>25</v>
      </c>
      <c r="AH53" s="9">
        <v>13</v>
      </c>
      <c r="AI53" s="9">
        <v>7</v>
      </c>
      <c r="AJ53" s="9">
        <v>6</v>
      </c>
      <c r="AK53" s="9">
        <v>0</v>
      </c>
      <c r="AL53" s="9">
        <v>0</v>
      </c>
      <c r="AM53" s="9">
        <v>7</v>
      </c>
      <c r="AN53" s="9">
        <v>1</v>
      </c>
      <c r="AO53" s="9">
        <v>0</v>
      </c>
      <c r="AP53" s="9">
        <v>5</v>
      </c>
      <c r="AQ53" s="8">
        <v>5</v>
      </c>
      <c r="AR53" s="8">
        <v>9</v>
      </c>
      <c r="AS53" s="8">
        <v>5</v>
      </c>
      <c r="AT53">
        <v>1</v>
      </c>
      <c r="AU53">
        <v>3</v>
      </c>
      <c r="AV53">
        <v>135</v>
      </c>
      <c r="AW53">
        <v>2</v>
      </c>
      <c r="AX53">
        <f t="shared" si="1"/>
        <v>130</v>
      </c>
      <c r="AY53" s="8">
        <v>0</v>
      </c>
      <c r="AZ53" s="8">
        <v>0</v>
      </c>
      <c r="BA53" s="8">
        <v>0</v>
      </c>
      <c r="BB53" s="9">
        <v>0</v>
      </c>
      <c r="BC53" s="27">
        <v>0</v>
      </c>
      <c r="BD53">
        <v>1</v>
      </c>
      <c r="BE53">
        <v>1</v>
      </c>
      <c r="BF53">
        <v>0</v>
      </c>
    </row>
    <row r="54" spans="1:58" x14ac:dyDescent="0.25">
      <c r="A54" s="9" t="s">
        <v>197</v>
      </c>
      <c r="B54" s="9" t="s">
        <v>198</v>
      </c>
      <c r="C54" s="9" t="s">
        <v>60</v>
      </c>
      <c r="D54" s="9" t="s">
        <v>61</v>
      </c>
      <c r="E54" s="9" t="s">
        <v>199</v>
      </c>
      <c r="F54" s="9" t="s">
        <v>200</v>
      </c>
      <c r="G54" s="9" t="s">
        <v>197</v>
      </c>
      <c r="H54" s="9" t="s">
        <v>198</v>
      </c>
      <c r="I54" s="9" t="s">
        <v>265</v>
      </c>
      <c r="J54" s="28" t="s">
        <v>266</v>
      </c>
      <c r="K54" s="9">
        <v>10</v>
      </c>
      <c r="L54" s="9">
        <v>10</v>
      </c>
      <c r="M54" s="9">
        <v>207</v>
      </c>
      <c r="N54" s="9">
        <v>298</v>
      </c>
      <c r="O54" s="9">
        <v>156</v>
      </c>
      <c r="P54" s="9">
        <v>661</v>
      </c>
      <c r="Q54" s="26">
        <v>34</v>
      </c>
      <c r="R54" s="26">
        <v>51</v>
      </c>
      <c r="S54">
        <v>1</v>
      </c>
      <c r="T54">
        <v>0</v>
      </c>
      <c r="U54">
        <v>0</v>
      </c>
      <c r="V54">
        <v>1</v>
      </c>
      <c r="W54">
        <v>1</v>
      </c>
      <c r="X54">
        <v>1</v>
      </c>
      <c r="Y54"/>
      <c r="Z54">
        <v>1</v>
      </c>
      <c r="AA54">
        <v>1</v>
      </c>
      <c r="AB54">
        <v>0</v>
      </c>
      <c r="AC54">
        <v>0</v>
      </c>
      <c r="AD54">
        <v>0</v>
      </c>
      <c r="AE54">
        <v>0</v>
      </c>
      <c r="AF54">
        <v>5</v>
      </c>
      <c r="AG54" s="9">
        <v>18</v>
      </c>
      <c r="AH54" s="9">
        <v>14</v>
      </c>
      <c r="AI54" s="9">
        <v>12</v>
      </c>
      <c r="AJ54" s="9">
        <v>2</v>
      </c>
      <c r="AK54" s="9">
        <v>0</v>
      </c>
      <c r="AL54" s="9">
        <v>0</v>
      </c>
      <c r="AM54" s="9">
        <v>12</v>
      </c>
      <c r="AN54" s="9">
        <v>0</v>
      </c>
      <c r="AO54" s="9">
        <v>0</v>
      </c>
      <c r="AP54" s="9">
        <v>2</v>
      </c>
      <c r="AQ54" s="8">
        <v>2</v>
      </c>
      <c r="AR54" s="8">
        <v>11</v>
      </c>
      <c r="AS54" s="8">
        <v>2</v>
      </c>
      <c r="AT54">
        <v>1</v>
      </c>
      <c r="AU54">
        <v>3</v>
      </c>
      <c r="AV54">
        <v>135</v>
      </c>
      <c r="AW54">
        <v>1</v>
      </c>
      <c r="AX54">
        <f t="shared" si="1"/>
        <v>65</v>
      </c>
      <c r="AY54" s="8">
        <v>0</v>
      </c>
      <c r="AZ54" s="8">
        <v>0</v>
      </c>
      <c r="BA54" s="8">
        <v>0</v>
      </c>
      <c r="BB54" s="9">
        <v>0</v>
      </c>
      <c r="BC54" s="27">
        <v>0</v>
      </c>
      <c r="BD54">
        <v>1</v>
      </c>
      <c r="BE54">
        <v>1</v>
      </c>
      <c r="BF54">
        <v>0</v>
      </c>
    </row>
    <row r="55" spans="1:58" x14ac:dyDescent="0.25">
      <c r="A55" s="9" t="s">
        <v>197</v>
      </c>
      <c r="B55" s="9" t="s">
        <v>198</v>
      </c>
      <c r="C55" s="9" t="s">
        <v>60</v>
      </c>
      <c r="D55" s="9" t="s">
        <v>61</v>
      </c>
      <c r="E55" s="9" t="s">
        <v>199</v>
      </c>
      <c r="F55" s="9" t="s">
        <v>200</v>
      </c>
      <c r="G55" s="9" t="s">
        <v>197</v>
      </c>
      <c r="H55" s="9" t="s">
        <v>198</v>
      </c>
      <c r="I55" s="9" t="s">
        <v>235</v>
      </c>
      <c r="J55" s="28" t="s">
        <v>236</v>
      </c>
      <c r="K55" s="9">
        <v>9</v>
      </c>
      <c r="L55" s="9">
        <v>9</v>
      </c>
      <c r="M55" s="9">
        <v>234</v>
      </c>
      <c r="N55" s="9">
        <v>308</v>
      </c>
      <c r="O55" s="9">
        <v>150</v>
      </c>
      <c r="P55" s="9">
        <v>692</v>
      </c>
      <c r="Q55" s="26">
        <v>34</v>
      </c>
      <c r="R55" s="26">
        <v>51</v>
      </c>
      <c r="S55">
        <v>1</v>
      </c>
      <c r="T55">
        <v>0</v>
      </c>
      <c r="U55">
        <v>0</v>
      </c>
      <c r="V55">
        <v>1</v>
      </c>
      <c r="W55">
        <v>1</v>
      </c>
      <c r="X55">
        <v>1</v>
      </c>
      <c r="Y55"/>
      <c r="Z55">
        <v>1</v>
      </c>
      <c r="AA55">
        <v>1</v>
      </c>
      <c r="AB55">
        <v>0</v>
      </c>
      <c r="AC55">
        <v>0</v>
      </c>
      <c r="AD55">
        <v>0</v>
      </c>
      <c r="AE55">
        <v>0</v>
      </c>
      <c r="AF55">
        <v>5</v>
      </c>
      <c r="AG55" s="9">
        <v>27</v>
      </c>
      <c r="AH55" s="9">
        <v>13</v>
      </c>
      <c r="AI55" s="9">
        <v>7</v>
      </c>
      <c r="AJ55" s="9">
        <v>5</v>
      </c>
      <c r="AK55" s="9">
        <v>0</v>
      </c>
      <c r="AL55" s="9">
        <v>0</v>
      </c>
      <c r="AM55" s="9">
        <v>7</v>
      </c>
      <c r="AN55" s="9">
        <v>0</v>
      </c>
      <c r="AO55" s="9">
        <v>0</v>
      </c>
      <c r="AP55" s="9">
        <v>5</v>
      </c>
      <c r="AQ55" s="8">
        <v>5</v>
      </c>
      <c r="AR55" s="8">
        <v>9</v>
      </c>
      <c r="AS55" s="8">
        <v>4</v>
      </c>
      <c r="AT55">
        <v>1</v>
      </c>
      <c r="AU55">
        <v>3</v>
      </c>
      <c r="AV55">
        <v>135</v>
      </c>
      <c r="AW55">
        <v>2</v>
      </c>
      <c r="AX55">
        <f t="shared" si="1"/>
        <v>130</v>
      </c>
      <c r="AY55" s="8">
        <v>0</v>
      </c>
      <c r="AZ55" s="8">
        <v>0</v>
      </c>
      <c r="BA55" s="8">
        <v>0</v>
      </c>
      <c r="BB55" s="9">
        <v>0</v>
      </c>
      <c r="BC55" s="27">
        <v>0</v>
      </c>
      <c r="BD55">
        <v>1</v>
      </c>
      <c r="BE55">
        <v>1</v>
      </c>
      <c r="BF55">
        <v>0</v>
      </c>
    </row>
    <row r="56" spans="1:58" x14ac:dyDescent="0.25">
      <c r="A56" s="9" t="s">
        <v>197</v>
      </c>
      <c r="B56" s="9" t="s">
        <v>198</v>
      </c>
      <c r="C56" s="9" t="s">
        <v>60</v>
      </c>
      <c r="D56" s="9" t="s">
        <v>61</v>
      </c>
      <c r="E56" s="9" t="s">
        <v>199</v>
      </c>
      <c r="F56" s="9" t="s">
        <v>200</v>
      </c>
      <c r="G56" s="9" t="s">
        <v>197</v>
      </c>
      <c r="H56" s="9" t="s">
        <v>198</v>
      </c>
      <c r="I56" s="9" t="s">
        <v>380</v>
      </c>
      <c r="J56" s="28" t="s">
        <v>381</v>
      </c>
      <c r="K56" s="9">
        <v>6</v>
      </c>
      <c r="L56" s="9">
        <v>6</v>
      </c>
      <c r="M56" s="9">
        <v>147</v>
      </c>
      <c r="N56" s="9">
        <v>275</v>
      </c>
      <c r="O56" s="9">
        <v>175</v>
      </c>
      <c r="P56" s="9">
        <v>597</v>
      </c>
      <c r="Q56" s="26">
        <v>34</v>
      </c>
      <c r="R56" s="26">
        <v>51</v>
      </c>
      <c r="S56">
        <v>1</v>
      </c>
      <c r="T56">
        <v>0</v>
      </c>
      <c r="U56">
        <v>0</v>
      </c>
      <c r="V56">
        <v>1</v>
      </c>
      <c r="W56">
        <v>1</v>
      </c>
      <c r="X56">
        <v>1</v>
      </c>
      <c r="Y56"/>
      <c r="Z56">
        <v>1</v>
      </c>
      <c r="AA56">
        <v>1</v>
      </c>
      <c r="AB56">
        <v>0</v>
      </c>
      <c r="AC56">
        <v>0</v>
      </c>
      <c r="AD56">
        <v>0</v>
      </c>
      <c r="AE56">
        <v>0</v>
      </c>
      <c r="AF56">
        <v>5</v>
      </c>
      <c r="AG56" s="9">
        <v>15</v>
      </c>
      <c r="AH56" s="9">
        <v>7</v>
      </c>
      <c r="AI56" s="9">
        <v>3</v>
      </c>
      <c r="AJ56" s="9">
        <v>4</v>
      </c>
      <c r="AK56" s="9">
        <v>0</v>
      </c>
      <c r="AL56" s="9">
        <v>0</v>
      </c>
      <c r="AM56" s="9">
        <v>3</v>
      </c>
      <c r="AN56" s="9">
        <v>1</v>
      </c>
      <c r="AO56" s="9">
        <v>0</v>
      </c>
      <c r="AP56" s="9">
        <v>3</v>
      </c>
      <c r="AQ56" s="8">
        <v>3</v>
      </c>
      <c r="AR56" s="8">
        <v>5</v>
      </c>
      <c r="AS56" s="8">
        <v>2</v>
      </c>
      <c r="AT56">
        <v>1</v>
      </c>
      <c r="AU56">
        <v>4</v>
      </c>
      <c r="AV56">
        <v>180</v>
      </c>
      <c r="AW56">
        <v>1</v>
      </c>
      <c r="AX56">
        <f t="shared" si="1"/>
        <v>65</v>
      </c>
      <c r="AY56" s="8">
        <v>0</v>
      </c>
      <c r="AZ56" s="8">
        <v>0</v>
      </c>
      <c r="BA56" s="8">
        <v>0</v>
      </c>
      <c r="BB56" s="9">
        <v>0</v>
      </c>
      <c r="BC56" s="27">
        <v>0</v>
      </c>
      <c r="BD56">
        <v>1</v>
      </c>
      <c r="BE56">
        <v>1</v>
      </c>
      <c r="BF56">
        <v>0</v>
      </c>
    </row>
    <row r="57" spans="1:58" x14ac:dyDescent="0.25">
      <c r="A57" s="9" t="s">
        <v>197</v>
      </c>
      <c r="B57" s="9" t="s">
        <v>198</v>
      </c>
      <c r="C57" s="9" t="s">
        <v>60</v>
      </c>
      <c r="D57" s="9" t="s">
        <v>61</v>
      </c>
      <c r="E57" s="9" t="s">
        <v>199</v>
      </c>
      <c r="F57" s="9" t="s">
        <v>200</v>
      </c>
      <c r="G57" s="9" t="s">
        <v>197</v>
      </c>
      <c r="H57" s="9" t="s">
        <v>198</v>
      </c>
      <c r="I57" s="9" t="s">
        <v>201</v>
      </c>
      <c r="J57" s="28" t="s">
        <v>202</v>
      </c>
      <c r="K57" s="9">
        <v>9</v>
      </c>
      <c r="L57" s="9">
        <v>9</v>
      </c>
      <c r="M57" s="9">
        <v>162</v>
      </c>
      <c r="N57" s="9">
        <v>276</v>
      </c>
      <c r="O57" s="9">
        <v>171</v>
      </c>
      <c r="P57" s="9">
        <v>609</v>
      </c>
      <c r="Q57" s="26">
        <v>34</v>
      </c>
      <c r="R57" s="26">
        <v>51</v>
      </c>
      <c r="S57">
        <v>1</v>
      </c>
      <c r="T57">
        <v>0</v>
      </c>
      <c r="U57">
        <v>0</v>
      </c>
      <c r="V57">
        <v>1</v>
      </c>
      <c r="W57">
        <v>1</v>
      </c>
      <c r="X57">
        <v>1</v>
      </c>
      <c r="Y57"/>
      <c r="Z57">
        <v>1</v>
      </c>
      <c r="AA57">
        <v>1</v>
      </c>
      <c r="AB57">
        <v>0</v>
      </c>
      <c r="AC57">
        <v>0</v>
      </c>
      <c r="AD57">
        <v>0</v>
      </c>
      <c r="AE57">
        <v>0</v>
      </c>
      <c r="AF57">
        <v>5</v>
      </c>
      <c r="AG57" s="9">
        <v>20</v>
      </c>
      <c r="AH57" s="9">
        <v>15</v>
      </c>
      <c r="AI57" s="9">
        <v>12</v>
      </c>
      <c r="AJ57" s="9">
        <v>3</v>
      </c>
      <c r="AK57" s="9">
        <v>1</v>
      </c>
      <c r="AL57" s="9">
        <v>0</v>
      </c>
      <c r="AM57" s="9">
        <v>11</v>
      </c>
      <c r="AN57" s="9">
        <v>1</v>
      </c>
      <c r="AO57" s="9">
        <v>1</v>
      </c>
      <c r="AP57" s="9">
        <v>1</v>
      </c>
      <c r="AQ57" s="8">
        <v>2</v>
      </c>
      <c r="AR57" s="8">
        <v>9</v>
      </c>
      <c r="AS57" s="8">
        <v>1</v>
      </c>
      <c r="AT57">
        <v>1</v>
      </c>
      <c r="AU57">
        <v>4</v>
      </c>
      <c r="AV57">
        <v>180</v>
      </c>
      <c r="AW57">
        <v>1</v>
      </c>
      <c r="AX57">
        <f t="shared" si="1"/>
        <v>65</v>
      </c>
      <c r="AY57" s="8">
        <v>0</v>
      </c>
      <c r="AZ57" s="8">
        <v>0</v>
      </c>
      <c r="BA57" s="8">
        <v>0</v>
      </c>
      <c r="BB57" s="9">
        <v>0</v>
      </c>
      <c r="BC57" s="27">
        <v>0</v>
      </c>
      <c r="BD57">
        <v>1</v>
      </c>
      <c r="BE57">
        <v>1</v>
      </c>
      <c r="BF57">
        <v>0</v>
      </c>
    </row>
    <row r="58" spans="1:58" x14ac:dyDescent="0.25">
      <c r="A58" s="9" t="s">
        <v>103</v>
      </c>
      <c r="B58" s="9" t="s">
        <v>104</v>
      </c>
      <c r="C58" s="9" t="s">
        <v>60</v>
      </c>
      <c r="D58" s="9" t="s">
        <v>61</v>
      </c>
      <c r="E58" s="9" t="s">
        <v>58</v>
      </c>
      <c r="F58" s="9" t="s">
        <v>62</v>
      </c>
      <c r="G58" s="9" t="s">
        <v>103</v>
      </c>
      <c r="H58" s="9" t="s">
        <v>104</v>
      </c>
      <c r="I58" s="9" t="s">
        <v>326</v>
      </c>
      <c r="J58" s="28" t="s">
        <v>327</v>
      </c>
      <c r="K58" s="9">
        <v>14</v>
      </c>
      <c r="L58" s="9">
        <v>14</v>
      </c>
      <c r="M58" s="9">
        <v>270</v>
      </c>
      <c r="N58" s="9">
        <v>389</v>
      </c>
      <c r="O58" s="9">
        <v>156</v>
      </c>
      <c r="P58" s="9">
        <v>815</v>
      </c>
      <c r="Q58" s="26">
        <v>39</v>
      </c>
      <c r="R58" s="26">
        <v>59</v>
      </c>
      <c r="S58">
        <v>1</v>
      </c>
      <c r="T58">
        <v>0</v>
      </c>
      <c r="U58">
        <v>0</v>
      </c>
      <c r="V58">
        <v>1</v>
      </c>
      <c r="W58">
        <v>1</v>
      </c>
      <c r="X58">
        <v>1</v>
      </c>
      <c r="Y58"/>
      <c r="Z58">
        <v>1</v>
      </c>
      <c r="AA58">
        <v>1</v>
      </c>
      <c r="AB58">
        <v>0</v>
      </c>
      <c r="AC58">
        <v>0</v>
      </c>
      <c r="AD58">
        <v>0</v>
      </c>
      <c r="AE58">
        <v>0</v>
      </c>
      <c r="AF58">
        <v>5</v>
      </c>
      <c r="AG58" s="9">
        <v>27</v>
      </c>
      <c r="AH58" s="9">
        <v>16</v>
      </c>
      <c r="AI58" s="9">
        <v>10</v>
      </c>
      <c r="AJ58" s="9">
        <v>6</v>
      </c>
      <c r="AK58" s="9">
        <v>2</v>
      </c>
      <c r="AL58" s="9">
        <v>0</v>
      </c>
      <c r="AM58" s="9">
        <v>8</v>
      </c>
      <c r="AN58" s="9">
        <v>2</v>
      </c>
      <c r="AO58" s="9">
        <v>0</v>
      </c>
      <c r="AP58" s="9">
        <v>4</v>
      </c>
      <c r="AQ58" s="8">
        <v>4</v>
      </c>
      <c r="AR58" s="8">
        <v>11</v>
      </c>
      <c r="AS58" s="8">
        <v>3</v>
      </c>
      <c r="AT58">
        <v>1</v>
      </c>
      <c r="AU58">
        <v>3</v>
      </c>
      <c r="AV58">
        <v>135</v>
      </c>
      <c r="AW58">
        <v>1</v>
      </c>
      <c r="AX58">
        <f t="shared" si="1"/>
        <v>65</v>
      </c>
      <c r="AY58" s="8">
        <v>0</v>
      </c>
      <c r="AZ58" s="8">
        <v>0</v>
      </c>
      <c r="BA58" s="8">
        <v>0</v>
      </c>
      <c r="BB58" s="9">
        <v>1</v>
      </c>
      <c r="BC58" s="27">
        <v>0</v>
      </c>
      <c r="BD58">
        <v>1</v>
      </c>
      <c r="BE58">
        <v>1</v>
      </c>
      <c r="BF58">
        <v>0</v>
      </c>
    </row>
    <row r="59" spans="1:58" x14ac:dyDescent="0.25">
      <c r="A59" s="9" t="s">
        <v>103</v>
      </c>
      <c r="B59" s="9" t="s">
        <v>104</v>
      </c>
      <c r="C59" s="9" t="s">
        <v>60</v>
      </c>
      <c r="D59" s="9" t="s">
        <v>61</v>
      </c>
      <c r="E59" s="9" t="s">
        <v>58</v>
      </c>
      <c r="F59" s="9" t="s">
        <v>62</v>
      </c>
      <c r="G59" s="9" t="s">
        <v>103</v>
      </c>
      <c r="H59" s="9" t="s">
        <v>104</v>
      </c>
      <c r="I59" s="9" t="s">
        <v>139</v>
      </c>
      <c r="J59" s="28" t="s">
        <v>140</v>
      </c>
      <c r="K59" s="9">
        <v>15</v>
      </c>
      <c r="L59" s="9">
        <v>12</v>
      </c>
      <c r="M59" s="9">
        <v>225</v>
      </c>
      <c r="N59" s="9">
        <v>372</v>
      </c>
      <c r="O59" s="9">
        <v>139</v>
      </c>
      <c r="P59" s="9">
        <v>736</v>
      </c>
      <c r="Q59" s="26">
        <v>37</v>
      </c>
      <c r="R59" s="26">
        <v>56</v>
      </c>
      <c r="S59">
        <v>1</v>
      </c>
      <c r="T59">
        <v>0</v>
      </c>
      <c r="U59">
        <v>0</v>
      </c>
      <c r="V59">
        <v>1</v>
      </c>
      <c r="W59">
        <v>1</v>
      </c>
      <c r="X59">
        <v>1</v>
      </c>
      <c r="Y59"/>
      <c r="Z59">
        <v>1</v>
      </c>
      <c r="AA59">
        <v>1</v>
      </c>
      <c r="AB59">
        <v>0</v>
      </c>
      <c r="AC59">
        <v>0</v>
      </c>
      <c r="AD59">
        <v>0</v>
      </c>
      <c r="AE59">
        <v>0</v>
      </c>
      <c r="AF59">
        <v>5</v>
      </c>
      <c r="AG59" s="9">
        <v>33</v>
      </c>
      <c r="AH59" s="9">
        <v>16</v>
      </c>
      <c r="AI59" s="9">
        <v>11</v>
      </c>
      <c r="AJ59" s="9">
        <v>5</v>
      </c>
      <c r="AK59" s="9">
        <v>3</v>
      </c>
      <c r="AL59" s="9">
        <v>0</v>
      </c>
      <c r="AM59" s="9">
        <v>8</v>
      </c>
      <c r="AN59" s="9">
        <v>0</v>
      </c>
      <c r="AO59" s="9">
        <v>1</v>
      </c>
      <c r="AP59" s="9">
        <v>4</v>
      </c>
      <c r="AQ59" s="8">
        <v>5</v>
      </c>
      <c r="AR59" s="8">
        <v>10</v>
      </c>
      <c r="AS59" s="8">
        <v>4</v>
      </c>
      <c r="AT59">
        <v>1</v>
      </c>
      <c r="AU59">
        <v>3</v>
      </c>
      <c r="AV59">
        <v>135</v>
      </c>
      <c r="AW59">
        <v>1</v>
      </c>
      <c r="AX59">
        <f t="shared" si="1"/>
        <v>65</v>
      </c>
      <c r="AY59" s="8">
        <v>0</v>
      </c>
      <c r="AZ59" s="8">
        <v>0</v>
      </c>
      <c r="BA59" s="8">
        <v>0</v>
      </c>
      <c r="BB59" s="9">
        <v>0</v>
      </c>
      <c r="BC59" s="27">
        <v>0</v>
      </c>
      <c r="BD59">
        <v>1</v>
      </c>
      <c r="BE59">
        <v>1</v>
      </c>
      <c r="BF59">
        <v>0</v>
      </c>
    </row>
    <row r="60" spans="1:58" x14ac:dyDescent="0.25">
      <c r="A60" s="9" t="s">
        <v>103</v>
      </c>
      <c r="B60" s="9" t="s">
        <v>104</v>
      </c>
      <c r="C60" s="9" t="s">
        <v>60</v>
      </c>
      <c r="D60" s="9" t="s">
        <v>61</v>
      </c>
      <c r="E60" s="9" t="s">
        <v>58</v>
      </c>
      <c r="F60" s="9" t="s">
        <v>62</v>
      </c>
      <c r="G60" s="9" t="s">
        <v>58</v>
      </c>
      <c r="H60" s="9" t="s">
        <v>59</v>
      </c>
      <c r="I60" s="9" t="s">
        <v>406</v>
      </c>
      <c r="J60" s="28" t="s">
        <v>407</v>
      </c>
      <c r="K60" s="9">
        <v>12</v>
      </c>
      <c r="L60" s="9">
        <v>12</v>
      </c>
      <c r="M60" s="9">
        <v>223</v>
      </c>
      <c r="N60" s="9">
        <v>378</v>
      </c>
      <c r="O60" s="9">
        <v>115</v>
      </c>
      <c r="P60" s="9">
        <v>716</v>
      </c>
      <c r="Q60" s="26">
        <v>36</v>
      </c>
      <c r="R60" s="26">
        <v>54</v>
      </c>
      <c r="S60">
        <v>1</v>
      </c>
      <c r="T60">
        <v>0</v>
      </c>
      <c r="U60">
        <v>0</v>
      </c>
      <c r="V60">
        <v>1</v>
      </c>
      <c r="W60">
        <v>1</v>
      </c>
      <c r="X60">
        <v>1</v>
      </c>
      <c r="Y60"/>
      <c r="Z60">
        <v>1</v>
      </c>
      <c r="AA60">
        <v>1</v>
      </c>
      <c r="AB60">
        <v>0</v>
      </c>
      <c r="AC60">
        <v>0</v>
      </c>
      <c r="AD60">
        <v>0</v>
      </c>
      <c r="AE60">
        <v>0</v>
      </c>
      <c r="AF60">
        <v>5</v>
      </c>
      <c r="AG60" s="9">
        <v>30</v>
      </c>
      <c r="AH60" s="9">
        <v>15</v>
      </c>
      <c r="AI60" s="9">
        <v>10</v>
      </c>
      <c r="AJ60" s="9">
        <v>5</v>
      </c>
      <c r="AK60" s="9">
        <v>2</v>
      </c>
      <c r="AL60" s="9">
        <v>1</v>
      </c>
      <c r="AM60" s="9">
        <v>7</v>
      </c>
      <c r="AN60" s="9">
        <v>0</v>
      </c>
      <c r="AO60" s="9">
        <v>0</v>
      </c>
      <c r="AP60" s="9">
        <v>5</v>
      </c>
      <c r="AQ60" s="8">
        <v>4</v>
      </c>
      <c r="AR60" s="8">
        <v>8</v>
      </c>
      <c r="AS60" s="8">
        <v>3</v>
      </c>
      <c r="AT60">
        <v>1</v>
      </c>
      <c r="AU60">
        <v>3</v>
      </c>
      <c r="AV60">
        <v>135</v>
      </c>
      <c r="AW60">
        <v>1</v>
      </c>
      <c r="AX60">
        <f t="shared" si="1"/>
        <v>65</v>
      </c>
      <c r="AY60" s="8">
        <v>0</v>
      </c>
      <c r="AZ60" s="8">
        <v>0</v>
      </c>
      <c r="BA60" s="8">
        <v>0</v>
      </c>
      <c r="BB60" s="9">
        <v>1</v>
      </c>
      <c r="BC60" s="27">
        <v>0</v>
      </c>
      <c r="BD60">
        <v>1</v>
      </c>
      <c r="BE60">
        <v>1</v>
      </c>
      <c r="BF60">
        <v>0</v>
      </c>
    </row>
    <row r="61" spans="1:58" x14ac:dyDescent="0.25">
      <c r="A61" s="9" t="s">
        <v>103</v>
      </c>
      <c r="B61" s="9" t="s">
        <v>104</v>
      </c>
      <c r="C61" s="9" t="s">
        <v>60</v>
      </c>
      <c r="D61" s="9" t="s">
        <v>61</v>
      </c>
      <c r="E61" s="9" t="s">
        <v>58</v>
      </c>
      <c r="F61" s="9" t="s">
        <v>62</v>
      </c>
      <c r="G61" s="9" t="s">
        <v>103</v>
      </c>
      <c r="H61" s="9" t="s">
        <v>104</v>
      </c>
      <c r="I61" s="9" t="s">
        <v>105</v>
      </c>
      <c r="J61" s="28" t="s">
        <v>106</v>
      </c>
      <c r="K61" s="9">
        <v>15</v>
      </c>
      <c r="L61" s="9">
        <v>15</v>
      </c>
      <c r="M61" s="9">
        <v>300</v>
      </c>
      <c r="N61" s="9">
        <v>437</v>
      </c>
      <c r="O61" s="9">
        <v>150</v>
      </c>
      <c r="P61" s="9">
        <v>887</v>
      </c>
      <c r="Q61" s="26">
        <v>39</v>
      </c>
      <c r="R61" s="26">
        <v>59</v>
      </c>
      <c r="S61">
        <v>1</v>
      </c>
      <c r="T61">
        <v>0</v>
      </c>
      <c r="U61">
        <v>0</v>
      </c>
      <c r="V61">
        <v>1</v>
      </c>
      <c r="W61">
        <v>1</v>
      </c>
      <c r="X61">
        <v>1</v>
      </c>
      <c r="Y61"/>
      <c r="Z61">
        <v>1</v>
      </c>
      <c r="AA61">
        <v>1</v>
      </c>
      <c r="AB61">
        <v>0</v>
      </c>
      <c r="AC61">
        <v>0</v>
      </c>
      <c r="AD61">
        <v>0</v>
      </c>
      <c r="AE61">
        <v>0</v>
      </c>
      <c r="AF61">
        <v>5</v>
      </c>
      <c r="AG61" s="9">
        <v>28</v>
      </c>
      <c r="AH61" s="9">
        <v>18</v>
      </c>
      <c r="AI61" s="9">
        <v>12</v>
      </c>
      <c r="AJ61" s="9">
        <v>6</v>
      </c>
      <c r="AK61" s="9">
        <v>2</v>
      </c>
      <c r="AL61" s="9">
        <v>0</v>
      </c>
      <c r="AM61" s="9">
        <v>10</v>
      </c>
      <c r="AN61" s="9">
        <v>0</v>
      </c>
      <c r="AO61" s="9">
        <v>0</v>
      </c>
      <c r="AP61" s="9">
        <v>6</v>
      </c>
      <c r="AQ61" s="8">
        <v>4</v>
      </c>
      <c r="AR61" s="8">
        <v>12</v>
      </c>
      <c r="AS61" s="8">
        <v>3</v>
      </c>
      <c r="AT61">
        <v>1</v>
      </c>
      <c r="AU61">
        <v>3</v>
      </c>
      <c r="AV61">
        <v>135</v>
      </c>
      <c r="AW61">
        <v>1</v>
      </c>
      <c r="AX61">
        <f t="shared" si="1"/>
        <v>65</v>
      </c>
      <c r="AY61" s="8">
        <v>0</v>
      </c>
      <c r="AZ61" s="8">
        <v>0</v>
      </c>
      <c r="BA61" s="8">
        <v>0</v>
      </c>
      <c r="BB61" s="9">
        <v>1</v>
      </c>
      <c r="BC61" s="27">
        <v>0</v>
      </c>
      <c r="BD61">
        <v>1</v>
      </c>
      <c r="BE61">
        <v>1</v>
      </c>
      <c r="BF61">
        <v>0</v>
      </c>
    </row>
    <row r="62" spans="1:58" x14ac:dyDescent="0.25">
      <c r="A62" s="9" t="s">
        <v>58</v>
      </c>
      <c r="B62" s="9" t="s">
        <v>59</v>
      </c>
      <c r="C62" s="9" t="s">
        <v>60</v>
      </c>
      <c r="D62" s="9" t="s">
        <v>61</v>
      </c>
      <c r="E62" s="9" t="s">
        <v>58</v>
      </c>
      <c r="F62" s="9" t="s">
        <v>62</v>
      </c>
      <c r="G62" s="9" t="s">
        <v>58</v>
      </c>
      <c r="H62" s="9" t="s">
        <v>59</v>
      </c>
      <c r="I62" s="9" t="s">
        <v>259</v>
      </c>
      <c r="J62" s="28" t="s">
        <v>260</v>
      </c>
      <c r="K62" s="9">
        <v>10</v>
      </c>
      <c r="L62" s="9">
        <v>10</v>
      </c>
      <c r="M62" s="9">
        <v>251</v>
      </c>
      <c r="N62" s="9">
        <v>352</v>
      </c>
      <c r="O62" s="9">
        <v>258</v>
      </c>
      <c r="P62" s="9">
        <v>861</v>
      </c>
      <c r="Q62" s="26">
        <v>39</v>
      </c>
      <c r="R62" s="26">
        <v>59</v>
      </c>
      <c r="S62">
        <v>1</v>
      </c>
      <c r="T62">
        <v>0</v>
      </c>
      <c r="U62">
        <v>0</v>
      </c>
      <c r="V62">
        <v>1</v>
      </c>
      <c r="W62">
        <v>1</v>
      </c>
      <c r="X62">
        <v>1</v>
      </c>
      <c r="Y62"/>
      <c r="Z62">
        <v>1</v>
      </c>
      <c r="AA62">
        <v>1</v>
      </c>
      <c r="AB62">
        <v>0</v>
      </c>
      <c r="AC62">
        <v>1</v>
      </c>
      <c r="AD62">
        <v>0</v>
      </c>
      <c r="AE62">
        <v>0</v>
      </c>
      <c r="AF62">
        <v>5</v>
      </c>
      <c r="AG62" s="9">
        <v>27</v>
      </c>
      <c r="AH62" s="9">
        <v>15</v>
      </c>
      <c r="AI62" s="9">
        <v>9</v>
      </c>
      <c r="AJ62" s="9">
        <v>6</v>
      </c>
      <c r="AK62" s="9">
        <v>0</v>
      </c>
      <c r="AL62" s="9">
        <v>0</v>
      </c>
      <c r="AM62" s="9">
        <v>9</v>
      </c>
      <c r="AN62" s="9">
        <v>2</v>
      </c>
      <c r="AO62" s="9">
        <v>1</v>
      </c>
      <c r="AP62" s="9">
        <v>3</v>
      </c>
      <c r="AQ62" s="8">
        <v>4</v>
      </c>
      <c r="AR62" s="8">
        <v>11</v>
      </c>
      <c r="AS62" s="8">
        <v>2</v>
      </c>
      <c r="AT62">
        <v>1</v>
      </c>
      <c r="AU62">
        <v>3</v>
      </c>
      <c r="AV62">
        <v>135</v>
      </c>
      <c r="AW62">
        <v>1</v>
      </c>
      <c r="AX62">
        <f t="shared" si="1"/>
        <v>65</v>
      </c>
      <c r="AY62" s="8">
        <v>0</v>
      </c>
      <c r="AZ62" s="8">
        <v>0</v>
      </c>
      <c r="BA62" s="8">
        <v>1</v>
      </c>
      <c r="BB62" s="9">
        <v>0</v>
      </c>
      <c r="BC62" s="27">
        <v>0</v>
      </c>
      <c r="BD62">
        <v>1</v>
      </c>
      <c r="BE62">
        <v>1</v>
      </c>
      <c r="BF62">
        <v>0</v>
      </c>
    </row>
    <row r="63" spans="1:58" x14ac:dyDescent="0.25">
      <c r="A63" s="8" t="s">
        <v>58</v>
      </c>
      <c r="B63" s="8" t="s">
        <v>59</v>
      </c>
      <c r="C63" s="8" t="s">
        <v>60</v>
      </c>
      <c r="D63" s="8" t="s">
        <v>61</v>
      </c>
      <c r="E63" s="8" t="s">
        <v>58</v>
      </c>
      <c r="F63" s="8" t="s">
        <v>62</v>
      </c>
      <c r="G63" s="8" t="s">
        <v>58</v>
      </c>
      <c r="H63" s="8" t="s">
        <v>59</v>
      </c>
      <c r="I63" s="8" t="s">
        <v>63</v>
      </c>
      <c r="J63" s="29" t="s">
        <v>64</v>
      </c>
      <c r="K63" s="8">
        <v>10</v>
      </c>
      <c r="L63" s="8">
        <v>10</v>
      </c>
      <c r="M63" s="8">
        <v>191</v>
      </c>
      <c r="N63" s="8">
        <v>303</v>
      </c>
      <c r="O63" s="8">
        <v>186</v>
      </c>
      <c r="P63" s="8">
        <v>680</v>
      </c>
      <c r="Q63" s="26">
        <v>36</v>
      </c>
      <c r="R63" s="26">
        <v>54</v>
      </c>
      <c r="S63">
        <v>1</v>
      </c>
      <c r="T63">
        <v>0</v>
      </c>
      <c r="U63">
        <v>0</v>
      </c>
      <c r="V63">
        <v>1</v>
      </c>
      <c r="W63">
        <v>1</v>
      </c>
      <c r="X63">
        <v>1</v>
      </c>
      <c r="Y63"/>
      <c r="Z63">
        <v>1</v>
      </c>
      <c r="AA63">
        <v>1</v>
      </c>
      <c r="AB63">
        <v>0</v>
      </c>
      <c r="AC63">
        <v>0</v>
      </c>
      <c r="AD63">
        <v>0</v>
      </c>
      <c r="AE63">
        <v>0</v>
      </c>
      <c r="AF63">
        <v>5</v>
      </c>
      <c r="AG63" s="8">
        <v>32</v>
      </c>
      <c r="AH63" s="8">
        <v>13</v>
      </c>
      <c r="AI63" s="8">
        <v>7</v>
      </c>
      <c r="AJ63" s="8">
        <v>6</v>
      </c>
      <c r="AK63" s="8">
        <v>0</v>
      </c>
      <c r="AL63" s="8">
        <v>0</v>
      </c>
      <c r="AM63" s="8">
        <v>7</v>
      </c>
      <c r="AN63" s="8">
        <v>0</v>
      </c>
      <c r="AO63" s="8">
        <v>0</v>
      </c>
      <c r="AP63" s="8">
        <v>6</v>
      </c>
      <c r="AQ63" s="8">
        <v>4</v>
      </c>
      <c r="AR63" s="8">
        <v>7</v>
      </c>
      <c r="AS63" s="8">
        <v>3</v>
      </c>
      <c r="AT63">
        <v>1</v>
      </c>
      <c r="AU63">
        <v>3</v>
      </c>
      <c r="AV63">
        <v>135</v>
      </c>
      <c r="AW63">
        <v>2</v>
      </c>
      <c r="AX63">
        <f t="shared" si="1"/>
        <v>130</v>
      </c>
      <c r="AY63" s="8">
        <v>0</v>
      </c>
      <c r="AZ63" s="8">
        <v>0</v>
      </c>
      <c r="BA63" s="8">
        <v>1</v>
      </c>
      <c r="BB63" s="8">
        <v>1</v>
      </c>
      <c r="BC63" s="27">
        <v>0</v>
      </c>
      <c r="BD63">
        <v>1</v>
      </c>
      <c r="BE63">
        <v>1</v>
      </c>
      <c r="BF63">
        <v>0</v>
      </c>
    </row>
    <row r="64" spans="1:58" x14ac:dyDescent="0.25">
      <c r="A64" s="9" t="s">
        <v>58</v>
      </c>
      <c r="B64" s="9" t="s">
        <v>59</v>
      </c>
      <c r="C64" s="9" t="s">
        <v>60</v>
      </c>
      <c r="D64" s="9" t="s">
        <v>61</v>
      </c>
      <c r="E64" s="9" t="s">
        <v>58</v>
      </c>
      <c r="F64" s="9" t="s">
        <v>62</v>
      </c>
      <c r="G64" s="9" t="s">
        <v>58</v>
      </c>
      <c r="H64" s="9" t="s">
        <v>59</v>
      </c>
      <c r="I64" s="9" t="s">
        <v>368</v>
      </c>
      <c r="J64" s="28" t="s">
        <v>369</v>
      </c>
      <c r="K64" s="9">
        <v>14</v>
      </c>
      <c r="L64" s="9">
        <v>11</v>
      </c>
      <c r="M64" s="9">
        <v>274</v>
      </c>
      <c r="N64" s="9">
        <v>275</v>
      </c>
      <c r="O64" s="9">
        <v>180</v>
      </c>
      <c r="P64" s="9">
        <v>729</v>
      </c>
      <c r="Q64" s="26">
        <v>34</v>
      </c>
      <c r="R64" s="26">
        <v>51</v>
      </c>
      <c r="S64">
        <v>1</v>
      </c>
      <c r="T64">
        <v>0</v>
      </c>
      <c r="U64">
        <v>0</v>
      </c>
      <c r="V64">
        <v>1</v>
      </c>
      <c r="W64">
        <v>1</v>
      </c>
      <c r="X64">
        <v>1</v>
      </c>
      <c r="Y64"/>
      <c r="Z64">
        <v>1</v>
      </c>
      <c r="AA64">
        <v>1</v>
      </c>
      <c r="AB64">
        <v>0</v>
      </c>
      <c r="AC64">
        <v>0</v>
      </c>
      <c r="AD64">
        <v>0</v>
      </c>
      <c r="AE64">
        <v>0</v>
      </c>
      <c r="AF64">
        <v>5</v>
      </c>
      <c r="AG64" s="9">
        <v>34</v>
      </c>
      <c r="AH64" s="9">
        <v>15</v>
      </c>
      <c r="AI64" s="9">
        <v>9</v>
      </c>
      <c r="AJ64" s="9">
        <v>5</v>
      </c>
      <c r="AK64" s="9">
        <v>2</v>
      </c>
      <c r="AL64" s="9">
        <v>0</v>
      </c>
      <c r="AM64" s="9">
        <v>7</v>
      </c>
      <c r="AN64" s="9">
        <v>0</v>
      </c>
      <c r="AO64" s="9">
        <v>0</v>
      </c>
      <c r="AP64" s="9">
        <v>5</v>
      </c>
      <c r="AQ64" s="8">
        <v>3</v>
      </c>
      <c r="AR64" s="8">
        <v>10</v>
      </c>
      <c r="AS64" s="8">
        <v>3</v>
      </c>
      <c r="AT64">
        <v>1</v>
      </c>
      <c r="AU64">
        <v>4</v>
      </c>
      <c r="AV64">
        <v>180</v>
      </c>
      <c r="AW64">
        <v>1</v>
      </c>
      <c r="AX64">
        <f t="shared" si="1"/>
        <v>65</v>
      </c>
      <c r="AY64" s="8">
        <v>0</v>
      </c>
      <c r="AZ64" s="8">
        <v>0</v>
      </c>
      <c r="BA64" s="8">
        <v>0</v>
      </c>
      <c r="BB64" s="9">
        <v>0</v>
      </c>
      <c r="BC64" s="27">
        <v>0</v>
      </c>
      <c r="BD64">
        <v>1</v>
      </c>
      <c r="BE64">
        <v>1</v>
      </c>
      <c r="BF64">
        <v>0</v>
      </c>
    </row>
    <row r="65" spans="1:58" x14ac:dyDescent="0.25">
      <c r="A65" s="9" t="s">
        <v>58</v>
      </c>
      <c r="B65" s="9" t="s">
        <v>59</v>
      </c>
      <c r="C65" s="9" t="s">
        <v>60</v>
      </c>
      <c r="D65" s="9" t="s">
        <v>61</v>
      </c>
      <c r="E65" s="9" t="s">
        <v>58</v>
      </c>
      <c r="F65" s="9" t="s">
        <v>62</v>
      </c>
      <c r="G65" s="9" t="s">
        <v>103</v>
      </c>
      <c r="H65" s="9" t="s">
        <v>104</v>
      </c>
      <c r="I65" s="9" t="s">
        <v>164</v>
      </c>
      <c r="J65" s="28" t="s">
        <v>165</v>
      </c>
      <c r="K65" s="9">
        <v>11</v>
      </c>
      <c r="L65" s="9">
        <v>11</v>
      </c>
      <c r="M65" s="9">
        <v>234</v>
      </c>
      <c r="N65" s="9">
        <v>313</v>
      </c>
      <c r="O65" s="9">
        <v>177</v>
      </c>
      <c r="P65" s="9">
        <v>724</v>
      </c>
      <c r="Q65" s="26">
        <v>36</v>
      </c>
      <c r="R65" s="26">
        <v>54</v>
      </c>
      <c r="S65">
        <v>1</v>
      </c>
      <c r="T65">
        <v>0</v>
      </c>
      <c r="U65">
        <v>0</v>
      </c>
      <c r="V65">
        <v>1</v>
      </c>
      <c r="W65">
        <v>1</v>
      </c>
      <c r="X65">
        <v>1</v>
      </c>
      <c r="Y65"/>
      <c r="Z65">
        <v>1</v>
      </c>
      <c r="AA65">
        <v>1</v>
      </c>
      <c r="AB65">
        <v>0</v>
      </c>
      <c r="AC65">
        <v>0</v>
      </c>
      <c r="AD65">
        <v>0</v>
      </c>
      <c r="AE65">
        <v>0</v>
      </c>
      <c r="AF65">
        <v>5</v>
      </c>
      <c r="AG65" s="9">
        <v>24</v>
      </c>
      <c r="AH65" s="9">
        <v>14</v>
      </c>
      <c r="AI65" s="9">
        <v>8</v>
      </c>
      <c r="AJ65" s="9">
        <v>5</v>
      </c>
      <c r="AK65" s="9">
        <v>0</v>
      </c>
      <c r="AL65" s="9">
        <v>0</v>
      </c>
      <c r="AM65" s="9">
        <v>8</v>
      </c>
      <c r="AN65" s="9">
        <v>0</v>
      </c>
      <c r="AO65" s="9">
        <v>1</v>
      </c>
      <c r="AP65" s="9">
        <v>4</v>
      </c>
      <c r="AQ65" s="8">
        <v>5</v>
      </c>
      <c r="AR65" s="8">
        <v>11</v>
      </c>
      <c r="AS65" s="8">
        <v>3</v>
      </c>
      <c r="AT65">
        <v>1</v>
      </c>
      <c r="AU65">
        <v>3</v>
      </c>
      <c r="AV65">
        <v>135</v>
      </c>
      <c r="AW65">
        <v>2</v>
      </c>
      <c r="AX65">
        <f t="shared" si="1"/>
        <v>130</v>
      </c>
      <c r="AY65" s="8">
        <v>0</v>
      </c>
      <c r="AZ65" s="8">
        <v>0</v>
      </c>
      <c r="BA65" s="8">
        <v>0</v>
      </c>
      <c r="BB65" s="9">
        <v>0</v>
      </c>
      <c r="BC65" s="27">
        <v>0</v>
      </c>
      <c r="BD65">
        <v>1</v>
      </c>
      <c r="BE65">
        <v>1</v>
      </c>
      <c r="BF65">
        <v>0</v>
      </c>
    </row>
    <row r="66" spans="1:58" x14ac:dyDescent="0.25">
      <c r="A66" s="9" t="s">
        <v>58</v>
      </c>
      <c r="B66" s="9" t="s">
        <v>59</v>
      </c>
      <c r="C66" s="9" t="s">
        <v>60</v>
      </c>
      <c r="D66" s="9" t="s">
        <v>61</v>
      </c>
      <c r="E66" s="9" t="s">
        <v>58</v>
      </c>
      <c r="F66" s="9" t="s">
        <v>62</v>
      </c>
      <c r="G66" s="9" t="s">
        <v>58</v>
      </c>
      <c r="H66" s="9" t="s">
        <v>59</v>
      </c>
      <c r="I66" s="9" t="s">
        <v>280</v>
      </c>
      <c r="J66" s="28" t="s">
        <v>281</v>
      </c>
      <c r="K66" s="9">
        <v>12</v>
      </c>
      <c r="L66" s="9">
        <v>12</v>
      </c>
      <c r="M66" s="9">
        <v>235</v>
      </c>
      <c r="N66" s="9">
        <v>307</v>
      </c>
      <c r="O66" s="9">
        <v>176</v>
      </c>
      <c r="P66" s="9">
        <v>718</v>
      </c>
      <c r="Q66" s="26">
        <v>35</v>
      </c>
      <c r="R66" s="26">
        <v>53</v>
      </c>
      <c r="S66">
        <v>1</v>
      </c>
      <c r="T66">
        <v>0</v>
      </c>
      <c r="U66">
        <v>0</v>
      </c>
      <c r="V66">
        <v>1</v>
      </c>
      <c r="W66">
        <v>1</v>
      </c>
      <c r="X66">
        <v>1</v>
      </c>
      <c r="Y66"/>
      <c r="Z66">
        <v>1</v>
      </c>
      <c r="AA66">
        <v>1</v>
      </c>
      <c r="AB66">
        <v>0</v>
      </c>
      <c r="AC66">
        <v>0</v>
      </c>
      <c r="AD66">
        <v>0</v>
      </c>
      <c r="AE66">
        <v>0</v>
      </c>
      <c r="AF66">
        <v>5</v>
      </c>
      <c r="AG66" s="9">
        <v>22</v>
      </c>
      <c r="AH66" s="9">
        <v>17</v>
      </c>
      <c r="AI66" s="9">
        <v>11</v>
      </c>
      <c r="AJ66" s="9">
        <v>6</v>
      </c>
      <c r="AK66" s="9">
        <v>1</v>
      </c>
      <c r="AL66" s="9">
        <v>0</v>
      </c>
      <c r="AM66" s="9">
        <v>10</v>
      </c>
      <c r="AN66" s="9">
        <v>1</v>
      </c>
      <c r="AO66" s="9">
        <v>1</v>
      </c>
      <c r="AP66" s="9">
        <v>4</v>
      </c>
      <c r="AQ66" s="8">
        <v>4</v>
      </c>
      <c r="AR66" s="8">
        <v>11</v>
      </c>
      <c r="AS66" s="8">
        <v>4</v>
      </c>
      <c r="AT66">
        <v>1</v>
      </c>
      <c r="AU66">
        <v>4</v>
      </c>
      <c r="AV66">
        <v>180</v>
      </c>
      <c r="AW66">
        <v>1</v>
      </c>
      <c r="AX66">
        <f t="shared" si="1"/>
        <v>65</v>
      </c>
      <c r="AY66" s="8">
        <v>0</v>
      </c>
      <c r="AZ66" s="8">
        <v>0</v>
      </c>
      <c r="BA66" s="8">
        <v>0</v>
      </c>
      <c r="BB66" s="9">
        <v>1</v>
      </c>
      <c r="BC66" s="27">
        <v>0</v>
      </c>
      <c r="BD66">
        <v>1</v>
      </c>
      <c r="BE66">
        <v>1</v>
      </c>
      <c r="BF66">
        <v>0</v>
      </c>
    </row>
    <row r="67" spans="1:58" x14ac:dyDescent="0.25">
      <c r="A67" s="9" t="s">
        <v>192</v>
      </c>
      <c r="B67" s="9" t="s">
        <v>193</v>
      </c>
      <c r="C67" s="9" t="s">
        <v>60</v>
      </c>
      <c r="D67" s="9" t="s">
        <v>61</v>
      </c>
      <c r="E67" s="9" t="s">
        <v>192</v>
      </c>
      <c r="F67" s="9" t="s">
        <v>194</v>
      </c>
      <c r="G67" s="9" t="s">
        <v>192</v>
      </c>
      <c r="H67" s="9" t="s">
        <v>193</v>
      </c>
      <c r="I67" s="9" t="s">
        <v>195</v>
      </c>
      <c r="J67" s="28" t="s">
        <v>196</v>
      </c>
      <c r="K67" s="9">
        <v>9</v>
      </c>
      <c r="L67" s="9">
        <v>9</v>
      </c>
      <c r="M67" s="9">
        <v>260</v>
      </c>
      <c r="N67" s="9">
        <v>371</v>
      </c>
      <c r="O67" s="9">
        <v>277</v>
      </c>
      <c r="P67" s="9">
        <v>908</v>
      </c>
      <c r="Q67" s="26">
        <v>39</v>
      </c>
      <c r="R67" s="26">
        <v>59</v>
      </c>
      <c r="S67">
        <v>1</v>
      </c>
      <c r="T67">
        <v>0</v>
      </c>
      <c r="U67">
        <v>0</v>
      </c>
      <c r="V67">
        <v>1</v>
      </c>
      <c r="W67">
        <v>1</v>
      </c>
      <c r="X67">
        <v>1</v>
      </c>
      <c r="Y67"/>
      <c r="Z67">
        <v>1</v>
      </c>
      <c r="AA67">
        <v>1</v>
      </c>
      <c r="AB67">
        <v>0</v>
      </c>
      <c r="AC67">
        <v>0</v>
      </c>
      <c r="AD67">
        <v>0</v>
      </c>
      <c r="AE67">
        <v>0</v>
      </c>
      <c r="AF67">
        <v>5</v>
      </c>
      <c r="AG67" s="9">
        <v>26</v>
      </c>
      <c r="AH67" s="9">
        <v>15</v>
      </c>
      <c r="AI67" s="9">
        <v>10</v>
      </c>
      <c r="AJ67" s="9">
        <v>5</v>
      </c>
      <c r="AK67" s="9">
        <v>1</v>
      </c>
      <c r="AL67" s="9">
        <v>1</v>
      </c>
      <c r="AM67" s="9">
        <v>8</v>
      </c>
      <c r="AN67" s="9">
        <v>3</v>
      </c>
      <c r="AO67" s="9">
        <v>1</v>
      </c>
      <c r="AP67" s="9">
        <v>1</v>
      </c>
      <c r="AQ67" s="8">
        <v>2</v>
      </c>
      <c r="AR67" s="8">
        <v>10</v>
      </c>
      <c r="AS67" s="8">
        <v>1</v>
      </c>
      <c r="AT67">
        <v>1</v>
      </c>
      <c r="AU67">
        <v>3</v>
      </c>
      <c r="AV67">
        <v>135</v>
      </c>
      <c r="AW67">
        <v>1</v>
      </c>
      <c r="AX67">
        <f t="shared" si="1"/>
        <v>65</v>
      </c>
      <c r="AY67" s="8">
        <v>0</v>
      </c>
      <c r="AZ67" s="8">
        <v>0</v>
      </c>
      <c r="BA67" s="8">
        <v>1</v>
      </c>
      <c r="BB67" s="9">
        <v>0</v>
      </c>
      <c r="BC67" s="27">
        <v>0</v>
      </c>
      <c r="BD67">
        <v>1</v>
      </c>
      <c r="BE67">
        <v>1</v>
      </c>
      <c r="BF67">
        <v>0</v>
      </c>
    </row>
    <row r="68" spans="1:58" x14ac:dyDescent="0.25">
      <c r="A68" s="9" t="s">
        <v>192</v>
      </c>
      <c r="B68" s="9" t="s">
        <v>193</v>
      </c>
      <c r="C68" s="9" t="s">
        <v>60</v>
      </c>
      <c r="D68" s="9" t="s">
        <v>61</v>
      </c>
      <c r="E68" s="9" t="s">
        <v>192</v>
      </c>
      <c r="F68" s="9" t="s">
        <v>194</v>
      </c>
      <c r="G68" s="9" t="s">
        <v>192</v>
      </c>
      <c r="H68" s="9" t="s">
        <v>193</v>
      </c>
      <c r="I68" s="9" t="s">
        <v>350</v>
      </c>
      <c r="J68" s="28" t="s">
        <v>351</v>
      </c>
      <c r="K68" s="9">
        <v>7</v>
      </c>
      <c r="L68" s="9">
        <v>7</v>
      </c>
      <c r="M68" s="9">
        <v>191</v>
      </c>
      <c r="N68" s="9">
        <v>507</v>
      </c>
      <c r="O68" s="9">
        <v>197</v>
      </c>
      <c r="P68" s="9">
        <v>895</v>
      </c>
      <c r="Q68" s="26">
        <v>39</v>
      </c>
      <c r="R68" s="26">
        <v>59</v>
      </c>
      <c r="S68">
        <v>1</v>
      </c>
      <c r="T68">
        <v>0</v>
      </c>
      <c r="U68">
        <v>0</v>
      </c>
      <c r="V68">
        <v>1</v>
      </c>
      <c r="W68">
        <v>1</v>
      </c>
      <c r="X68">
        <v>1</v>
      </c>
      <c r="Y68"/>
      <c r="Z68">
        <v>1</v>
      </c>
      <c r="AA68">
        <v>1</v>
      </c>
      <c r="AB68">
        <v>0</v>
      </c>
      <c r="AC68">
        <v>1</v>
      </c>
      <c r="AD68">
        <v>0</v>
      </c>
      <c r="AE68">
        <v>0</v>
      </c>
      <c r="AF68">
        <v>5</v>
      </c>
      <c r="AG68" s="9">
        <v>15</v>
      </c>
      <c r="AH68" s="9">
        <v>12</v>
      </c>
      <c r="AI68" s="9">
        <v>6</v>
      </c>
      <c r="AJ68" s="9">
        <v>6</v>
      </c>
      <c r="AK68" s="9">
        <v>1</v>
      </c>
      <c r="AL68" s="9">
        <v>0</v>
      </c>
      <c r="AM68" s="9">
        <v>5</v>
      </c>
      <c r="AN68" s="9">
        <v>1</v>
      </c>
      <c r="AO68" s="9">
        <v>2</v>
      </c>
      <c r="AP68" s="9">
        <v>3</v>
      </c>
      <c r="AQ68" s="8">
        <v>5</v>
      </c>
      <c r="AR68" s="8">
        <v>6</v>
      </c>
      <c r="AS68" s="8">
        <v>5</v>
      </c>
      <c r="AT68">
        <v>1</v>
      </c>
      <c r="AU68">
        <v>3</v>
      </c>
      <c r="AV68">
        <v>135</v>
      </c>
      <c r="AW68">
        <v>1</v>
      </c>
      <c r="AX68">
        <f t="shared" si="1"/>
        <v>65</v>
      </c>
      <c r="AY68" s="8">
        <v>0</v>
      </c>
      <c r="AZ68" s="8">
        <v>0</v>
      </c>
      <c r="BA68" s="8">
        <v>2</v>
      </c>
      <c r="BB68" s="9">
        <v>0</v>
      </c>
      <c r="BC68" s="27">
        <v>0</v>
      </c>
      <c r="BD68">
        <v>1</v>
      </c>
      <c r="BE68">
        <v>1</v>
      </c>
      <c r="BF68">
        <v>0</v>
      </c>
    </row>
    <row r="69" spans="1:58" x14ac:dyDescent="0.25">
      <c r="A69" s="9" t="s">
        <v>192</v>
      </c>
      <c r="B69" s="9" t="s">
        <v>193</v>
      </c>
      <c r="C69" s="9" t="s">
        <v>60</v>
      </c>
      <c r="D69" s="9" t="s">
        <v>61</v>
      </c>
      <c r="E69" s="9" t="s">
        <v>192</v>
      </c>
      <c r="F69" s="9" t="s">
        <v>194</v>
      </c>
      <c r="G69" s="9" t="s">
        <v>192</v>
      </c>
      <c r="H69" s="9" t="s">
        <v>193</v>
      </c>
      <c r="I69" s="9" t="s">
        <v>221</v>
      </c>
      <c r="J69" s="28" t="s">
        <v>222</v>
      </c>
      <c r="K69" s="9">
        <v>12</v>
      </c>
      <c r="L69" s="9">
        <v>12</v>
      </c>
      <c r="M69" s="9">
        <v>296</v>
      </c>
      <c r="N69" s="9">
        <v>437</v>
      </c>
      <c r="O69" s="9">
        <v>169</v>
      </c>
      <c r="P69" s="9">
        <v>902</v>
      </c>
      <c r="Q69" s="26">
        <v>39</v>
      </c>
      <c r="R69" s="26">
        <v>59</v>
      </c>
      <c r="S69">
        <v>1</v>
      </c>
      <c r="T69">
        <v>0</v>
      </c>
      <c r="U69">
        <v>0</v>
      </c>
      <c r="V69">
        <v>1</v>
      </c>
      <c r="W69">
        <v>1</v>
      </c>
      <c r="X69">
        <v>1</v>
      </c>
      <c r="Y69"/>
      <c r="Z69">
        <v>1</v>
      </c>
      <c r="AA69">
        <v>1</v>
      </c>
      <c r="AB69">
        <v>0</v>
      </c>
      <c r="AC69">
        <v>0</v>
      </c>
      <c r="AD69">
        <v>0</v>
      </c>
      <c r="AE69">
        <v>0</v>
      </c>
      <c r="AF69">
        <v>5</v>
      </c>
      <c r="AG69" s="9">
        <v>21</v>
      </c>
      <c r="AH69" s="9">
        <v>17</v>
      </c>
      <c r="AI69" s="9">
        <v>10</v>
      </c>
      <c r="AJ69" s="9">
        <v>7</v>
      </c>
      <c r="AK69" s="9">
        <v>0</v>
      </c>
      <c r="AL69" s="9">
        <v>0</v>
      </c>
      <c r="AM69" s="9">
        <v>10</v>
      </c>
      <c r="AN69" s="9">
        <v>0</v>
      </c>
      <c r="AO69" s="9">
        <v>1</v>
      </c>
      <c r="AP69" s="9">
        <v>6</v>
      </c>
      <c r="AQ69" s="8">
        <v>7</v>
      </c>
      <c r="AR69" s="8">
        <v>14</v>
      </c>
      <c r="AS69" s="8">
        <v>7</v>
      </c>
      <c r="AT69">
        <v>1</v>
      </c>
      <c r="AU69">
        <v>4</v>
      </c>
      <c r="AV69">
        <v>180</v>
      </c>
      <c r="AW69">
        <v>1</v>
      </c>
      <c r="AX69">
        <f t="shared" ref="AX69:AX100" si="2">AW69*65</f>
        <v>65</v>
      </c>
      <c r="AY69" s="8">
        <v>1</v>
      </c>
      <c r="AZ69" s="8">
        <v>0</v>
      </c>
      <c r="BA69" s="8">
        <v>0</v>
      </c>
      <c r="BB69" s="9">
        <v>1</v>
      </c>
      <c r="BC69" s="27">
        <v>0</v>
      </c>
      <c r="BD69">
        <v>1</v>
      </c>
      <c r="BE69">
        <v>1</v>
      </c>
      <c r="BF69">
        <v>0</v>
      </c>
    </row>
    <row r="70" spans="1:58" x14ac:dyDescent="0.25">
      <c r="A70" s="9" t="s">
        <v>192</v>
      </c>
      <c r="B70" s="9" t="s">
        <v>193</v>
      </c>
      <c r="C70" s="9" t="s">
        <v>60</v>
      </c>
      <c r="D70" s="9" t="s">
        <v>61</v>
      </c>
      <c r="E70" s="9" t="s">
        <v>192</v>
      </c>
      <c r="F70" s="9" t="s">
        <v>194</v>
      </c>
      <c r="G70" s="9" t="s">
        <v>192</v>
      </c>
      <c r="H70" s="9" t="s">
        <v>193</v>
      </c>
      <c r="I70" s="9" t="s">
        <v>300</v>
      </c>
      <c r="J70" s="28" t="s">
        <v>301</v>
      </c>
      <c r="K70" s="9">
        <v>9</v>
      </c>
      <c r="L70" s="9">
        <v>9</v>
      </c>
      <c r="M70" s="9">
        <v>236</v>
      </c>
      <c r="N70" s="9">
        <v>394</v>
      </c>
      <c r="O70" s="9">
        <v>219</v>
      </c>
      <c r="P70" s="9">
        <v>849</v>
      </c>
      <c r="Q70" s="26">
        <v>39</v>
      </c>
      <c r="R70" s="26">
        <v>59</v>
      </c>
      <c r="S70">
        <v>1</v>
      </c>
      <c r="T70">
        <v>0</v>
      </c>
      <c r="U70">
        <v>0</v>
      </c>
      <c r="V70">
        <v>1</v>
      </c>
      <c r="W70">
        <v>1</v>
      </c>
      <c r="X70">
        <v>1</v>
      </c>
      <c r="Y70"/>
      <c r="Z70">
        <v>1</v>
      </c>
      <c r="AA70">
        <v>1</v>
      </c>
      <c r="AB70">
        <v>0</v>
      </c>
      <c r="AC70">
        <v>0</v>
      </c>
      <c r="AD70">
        <v>0</v>
      </c>
      <c r="AE70">
        <v>0</v>
      </c>
      <c r="AF70">
        <v>5</v>
      </c>
      <c r="AG70" s="9">
        <v>21</v>
      </c>
      <c r="AH70" s="9">
        <v>12</v>
      </c>
      <c r="AI70" s="9">
        <v>11</v>
      </c>
      <c r="AJ70" s="9">
        <v>1</v>
      </c>
      <c r="AK70" s="9">
        <v>1</v>
      </c>
      <c r="AL70" s="9">
        <v>0</v>
      </c>
      <c r="AM70" s="9">
        <v>10</v>
      </c>
      <c r="AN70" s="9">
        <v>1</v>
      </c>
      <c r="AO70" s="9">
        <v>0</v>
      </c>
      <c r="AP70" s="9">
        <v>0</v>
      </c>
      <c r="AQ70" s="8">
        <v>0</v>
      </c>
      <c r="AR70" s="8">
        <v>10</v>
      </c>
      <c r="AS70" s="8">
        <v>0</v>
      </c>
      <c r="AT70">
        <v>1</v>
      </c>
      <c r="AU70">
        <v>3</v>
      </c>
      <c r="AV70">
        <v>135</v>
      </c>
      <c r="AW70">
        <v>1</v>
      </c>
      <c r="AX70">
        <f t="shared" si="2"/>
        <v>65</v>
      </c>
      <c r="AY70" s="8">
        <v>1</v>
      </c>
      <c r="AZ70" s="8">
        <v>0</v>
      </c>
      <c r="BA70" s="8">
        <v>0</v>
      </c>
      <c r="BB70" s="9">
        <v>0</v>
      </c>
      <c r="BC70" s="27">
        <v>0</v>
      </c>
      <c r="BD70">
        <v>1</v>
      </c>
      <c r="BE70">
        <v>1</v>
      </c>
      <c r="BF70">
        <v>0</v>
      </c>
    </row>
    <row r="71" spans="1:58" x14ac:dyDescent="0.25">
      <c r="A71" s="9" t="s">
        <v>192</v>
      </c>
      <c r="B71" s="9" t="s">
        <v>193</v>
      </c>
      <c r="C71" s="9" t="s">
        <v>60</v>
      </c>
      <c r="D71" s="9" t="s">
        <v>61</v>
      </c>
      <c r="E71" s="9" t="s">
        <v>192</v>
      </c>
      <c r="F71" s="9" t="s">
        <v>194</v>
      </c>
      <c r="G71" s="9" t="s">
        <v>192</v>
      </c>
      <c r="H71" s="9" t="s">
        <v>193</v>
      </c>
      <c r="I71" s="9" t="s">
        <v>298</v>
      </c>
      <c r="J71" s="28" t="s">
        <v>299</v>
      </c>
      <c r="K71" s="9">
        <v>11</v>
      </c>
      <c r="L71" s="9">
        <v>11</v>
      </c>
      <c r="M71" s="9">
        <v>276</v>
      </c>
      <c r="N71" s="9">
        <v>439</v>
      </c>
      <c r="O71" s="9">
        <v>194</v>
      </c>
      <c r="P71" s="9">
        <v>909</v>
      </c>
      <c r="Q71" s="26">
        <v>39</v>
      </c>
      <c r="R71" s="26">
        <v>59</v>
      </c>
      <c r="S71">
        <v>1</v>
      </c>
      <c r="T71">
        <v>0</v>
      </c>
      <c r="U71">
        <v>0</v>
      </c>
      <c r="V71">
        <v>1</v>
      </c>
      <c r="W71">
        <v>1</v>
      </c>
      <c r="X71">
        <v>1</v>
      </c>
      <c r="Y71"/>
      <c r="Z71">
        <v>1</v>
      </c>
      <c r="AA71">
        <v>1</v>
      </c>
      <c r="AB71">
        <v>0</v>
      </c>
      <c r="AC71">
        <v>0</v>
      </c>
      <c r="AD71">
        <v>0</v>
      </c>
      <c r="AE71">
        <v>0</v>
      </c>
      <c r="AF71">
        <v>5</v>
      </c>
      <c r="AG71" s="9">
        <v>31</v>
      </c>
      <c r="AH71" s="9">
        <v>20</v>
      </c>
      <c r="AI71" s="9">
        <v>12</v>
      </c>
      <c r="AJ71" s="9">
        <v>8</v>
      </c>
      <c r="AK71" s="9">
        <v>2</v>
      </c>
      <c r="AL71" s="9">
        <v>0</v>
      </c>
      <c r="AM71" s="9">
        <v>10</v>
      </c>
      <c r="AN71" s="9">
        <v>3</v>
      </c>
      <c r="AO71" s="9">
        <v>2</v>
      </c>
      <c r="AP71" s="9">
        <v>3</v>
      </c>
      <c r="AQ71" s="8">
        <v>5</v>
      </c>
      <c r="AR71" s="8">
        <v>11</v>
      </c>
      <c r="AS71" s="8">
        <v>4</v>
      </c>
      <c r="AT71">
        <v>1</v>
      </c>
      <c r="AU71">
        <v>3</v>
      </c>
      <c r="AV71">
        <v>135</v>
      </c>
      <c r="AW71">
        <v>1</v>
      </c>
      <c r="AX71">
        <f t="shared" si="2"/>
        <v>65</v>
      </c>
      <c r="AY71" s="8">
        <v>2</v>
      </c>
      <c r="AZ71" s="8">
        <v>1</v>
      </c>
      <c r="BA71" s="8">
        <v>3</v>
      </c>
      <c r="BB71" s="9">
        <v>1</v>
      </c>
      <c r="BC71" s="27">
        <v>0</v>
      </c>
      <c r="BD71">
        <v>1</v>
      </c>
      <c r="BE71">
        <v>1</v>
      </c>
      <c r="BF71">
        <v>0</v>
      </c>
    </row>
    <row r="72" spans="1:58" x14ac:dyDescent="0.25">
      <c r="A72" s="9" t="s">
        <v>192</v>
      </c>
      <c r="B72" s="9" t="s">
        <v>193</v>
      </c>
      <c r="C72" s="9" t="s">
        <v>60</v>
      </c>
      <c r="D72" s="9" t="s">
        <v>61</v>
      </c>
      <c r="E72" s="9" t="s">
        <v>192</v>
      </c>
      <c r="F72" s="9" t="s">
        <v>194</v>
      </c>
      <c r="G72" s="9" t="s">
        <v>192</v>
      </c>
      <c r="H72" s="9" t="s">
        <v>193</v>
      </c>
      <c r="I72" s="9" t="s">
        <v>320</v>
      </c>
      <c r="J72" s="28" t="s">
        <v>321</v>
      </c>
      <c r="K72" s="9">
        <v>12</v>
      </c>
      <c r="L72" s="9">
        <v>12</v>
      </c>
      <c r="M72" s="9">
        <v>251</v>
      </c>
      <c r="N72" s="9">
        <v>449</v>
      </c>
      <c r="O72" s="9">
        <v>198</v>
      </c>
      <c r="P72" s="9">
        <v>898</v>
      </c>
      <c r="Q72" s="26">
        <v>39</v>
      </c>
      <c r="R72" s="26">
        <v>59</v>
      </c>
      <c r="S72">
        <v>1</v>
      </c>
      <c r="T72">
        <v>0</v>
      </c>
      <c r="U72">
        <v>0</v>
      </c>
      <c r="V72">
        <v>1</v>
      </c>
      <c r="W72">
        <v>1</v>
      </c>
      <c r="X72">
        <v>1</v>
      </c>
      <c r="Y72"/>
      <c r="Z72">
        <v>1</v>
      </c>
      <c r="AA72">
        <v>1</v>
      </c>
      <c r="AB72">
        <v>0</v>
      </c>
      <c r="AC72">
        <v>0</v>
      </c>
      <c r="AD72">
        <v>0</v>
      </c>
      <c r="AE72">
        <v>0</v>
      </c>
      <c r="AF72">
        <v>5</v>
      </c>
      <c r="AG72" s="9">
        <v>30</v>
      </c>
      <c r="AH72" s="9">
        <v>17</v>
      </c>
      <c r="AI72" s="9">
        <v>11</v>
      </c>
      <c r="AJ72" s="9">
        <v>6</v>
      </c>
      <c r="AK72" s="9">
        <v>2</v>
      </c>
      <c r="AL72" s="9">
        <v>0</v>
      </c>
      <c r="AM72" s="9">
        <v>9</v>
      </c>
      <c r="AN72" s="9">
        <v>3</v>
      </c>
      <c r="AO72" s="9">
        <v>0</v>
      </c>
      <c r="AP72" s="9">
        <v>3</v>
      </c>
      <c r="AQ72" s="8">
        <v>3</v>
      </c>
      <c r="AR72" s="8">
        <v>11</v>
      </c>
      <c r="AS72" s="8">
        <v>3</v>
      </c>
      <c r="AT72">
        <v>1</v>
      </c>
      <c r="AU72">
        <v>3</v>
      </c>
      <c r="AV72">
        <v>135</v>
      </c>
      <c r="AW72">
        <v>1</v>
      </c>
      <c r="AX72">
        <f t="shared" si="2"/>
        <v>65</v>
      </c>
      <c r="AY72" s="8">
        <v>0</v>
      </c>
      <c r="AZ72" s="8">
        <v>0</v>
      </c>
      <c r="BA72" s="8">
        <v>1</v>
      </c>
      <c r="BB72" s="9">
        <v>0</v>
      </c>
      <c r="BC72" s="27">
        <v>0</v>
      </c>
      <c r="BD72">
        <v>1</v>
      </c>
      <c r="BE72">
        <v>1</v>
      </c>
      <c r="BF72">
        <v>0</v>
      </c>
    </row>
    <row r="73" spans="1:58" x14ac:dyDescent="0.25">
      <c r="A73" s="9" t="s">
        <v>112</v>
      </c>
      <c r="B73" s="9" t="s">
        <v>113</v>
      </c>
      <c r="C73" s="9" t="s">
        <v>60</v>
      </c>
      <c r="D73" s="9" t="s">
        <v>61</v>
      </c>
      <c r="E73" s="9" t="s">
        <v>114</v>
      </c>
      <c r="F73" s="9" t="s">
        <v>115</v>
      </c>
      <c r="G73" s="9" t="s">
        <v>112</v>
      </c>
      <c r="H73" s="9" t="s">
        <v>113</v>
      </c>
      <c r="I73" s="9" t="s">
        <v>116</v>
      </c>
      <c r="J73" s="28" t="s">
        <v>117</v>
      </c>
      <c r="K73" s="9">
        <v>13</v>
      </c>
      <c r="L73" s="9">
        <v>13</v>
      </c>
      <c r="M73" s="9">
        <v>278</v>
      </c>
      <c r="N73" s="9">
        <v>204</v>
      </c>
      <c r="O73" s="9">
        <v>235</v>
      </c>
      <c r="P73" s="9">
        <v>717</v>
      </c>
      <c r="Q73" s="26">
        <v>32</v>
      </c>
      <c r="R73" s="26">
        <v>48</v>
      </c>
      <c r="S73">
        <v>1</v>
      </c>
      <c r="T73">
        <v>0</v>
      </c>
      <c r="U73">
        <v>0</v>
      </c>
      <c r="V73">
        <v>1</v>
      </c>
      <c r="W73">
        <v>1</v>
      </c>
      <c r="X73">
        <v>1</v>
      </c>
      <c r="Y73"/>
      <c r="Z73">
        <v>1</v>
      </c>
      <c r="AA73">
        <v>1</v>
      </c>
      <c r="AB73">
        <v>0</v>
      </c>
      <c r="AC73">
        <v>0</v>
      </c>
      <c r="AD73">
        <v>0</v>
      </c>
      <c r="AE73">
        <v>0</v>
      </c>
      <c r="AF73">
        <v>5</v>
      </c>
      <c r="AG73" s="9">
        <v>49</v>
      </c>
      <c r="AH73" s="9">
        <v>25</v>
      </c>
      <c r="AI73" s="9">
        <v>15</v>
      </c>
      <c r="AJ73" s="9">
        <v>10</v>
      </c>
      <c r="AK73" s="9">
        <v>1</v>
      </c>
      <c r="AL73" s="9">
        <v>0</v>
      </c>
      <c r="AM73" s="9">
        <v>14</v>
      </c>
      <c r="AN73" s="9">
        <v>3</v>
      </c>
      <c r="AO73" s="9">
        <v>0</v>
      </c>
      <c r="AP73" s="9">
        <v>7</v>
      </c>
      <c r="AQ73" s="8">
        <v>7</v>
      </c>
      <c r="AR73" s="8">
        <v>16</v>
      </c>
      <c r="AS73" s="8">
        <v>7</v>
      </c>
      <c r="AT73">
        <v>1</v>
      </c>
      <c r="AU73">
        <v>3</v>
      </c>
      <c r="AV73">
        <v>135</v>
      </c>
      <c r="AW73">
        <v>1</v>
      </c>
      <c r="AX73">
        <f t="shared" si="2"/>
        <v>65</v>
      </c>
      <c r="AY73" s="8">
        <v>0</v>
      </c>
      <c r="AZ73" s="8">
        <v>0</v>
      </c>
      <c r="BA73" s="8">
        <v>0</v>
      </c>
      <c r="BB73" s="9">
        <v>0</v>
      </c>
      <c r="BC73" s="27">
        <v>0</v>
      </c>
      <c r="BD73">
        <v>1</v>
      </c>
      <c r="BE73">
        <v>1</v>
      </c>
      <c r="BF73">
        <v>0</v>
      </c>
    </row>
    <row r="74" spans="1:58" x14ac:dyDescent="0.25">
      <c r="A74" s="9" t="s">
        <v>112</v>
      </c>
      <c r="B74" s="9" t="s">
        <v>113</v>
      </c>
      <c r="C74" s="9" t="s">
        <v>60</v>
      </c>
      <c r="D74" s="9" t="s">
        <v>61</v>
      </c>
      <c r="E74" s="9" t="s">
        <v>114</v>
      </c>
      <c r="F74" s="9" t="s">
        <v>115</v>
      </c>
      <c r="G74" s="9" t="s">
        <v>112</v>
      </c>
      <c r="H74" s="9" t="s">
        <v>113</v>
      </c>
      <c r="I74" s="9" t="s">
        <v>420</v>
      </c>
      <c r="J74" s="28" t="s">
        <v>421</v>
      </c>
      <c r="K74" s="9">
        <v>11</v>
      </c>
      <c r="L74" s="9">
        <v>11</v>
      </c>
      <c r="M74" s="9">
        <v>244</v>
      </c>
      <c r="N74" s="9">
        <v>211</v>
      </c>
      <c r="O74" s="9">
        <v>157</v>
      </c>
      <c r="P74" s="9">
        <v>612</v>
      </c>
      <c r="Q74" s="26">
        <v>32</v>
      </c>
      <c r="R74" s="26">
        <v>48</v>
      </c>
      <c r="S74">
        <v>1</v>
      </c>
      <c r="T74">
        <v>0</v>
      </c>
      <c r="U74">
        <v>0</v>
      </c>
      <c r="V74">
        <v>1</v>
      </c>
      <c r="W74">
        <v>1</v>
      </c>
      <c r="X74">
        <v>1</v>
      </c>
      <c r="Y74"/>
      <c r="Z74">
        <v>1</v>
      </c>
      <c r="AA74">
        <v>1</v>
      </c>
      <c r="AB74">
        <v>0</v>
      </c>
      <c r="AC74">
        <v>0</v>
      </c>
      <c r="AD74">
        <v>0</v>
      </c>
      <c r="AE74">
        <v>0</v>
      </c>
      <c r="AF74">
        <v>5</v>
      </c>
      <c r="AG74" s="9">
        <v>36</v>
      </c>
      <c r="AH74" s="9">
        <v>20</v>
      </c>
      <c r="AI74" s="9">
        <v>10</v>
      </c>
      <c r="AJ74" s="9">
        <v>10</v>
      </c>
      <c r="AK74" s="9">
        <v>1</v>
      </c>
      <c r="AL74" s="9">
        <v>0</v>
      </c>
      <c r="AM74" s="9">
        <v>9</v>
      </c>
      <c r="AN74" s="9">
        <v>1</v>
      </c>
      <c r="AO74" s="9">
        <v>0</v>
      </c>
      <c r="AP74" s="9">
        <v>9</v>
      </c>
      <c r="AQ74" s="8">
        <v>9</v>
      </c>
      <c r="AR74" s="8">
        <v>15</v>
      </c>
      <c r="AS74" s="8">
        <v>9</v>
      </c>
      <c r="AT74">
        <v>1</v>
      </c>
      <c r="AU74">
        <v>4</v>
      </c>
      <c r="AV74">
        <v>180</v>
      </c>
      <c r="AW74">
        <v>1</v>
      </c>
      <c r="AX74">
        <f t="shared" si="2"/>
        <v>65</v>
      </c>
      <c r="AY74" s="8">
        <v>0</v>
      </c>
      <c r="AZ74" s="8">
        <v>0</v>
      </c>
      <c r="BA74" s="8">
        <v>0</v>
      </c>
      <c r="BB74" s="9">
        <v>0</v>
      </c>
      <c r="BC74" s="27">
        <v>0</v>
      </c>
      <c r="BD74">
        <v>1</v>
      </c>
      <c r="BE74">
        <v>1</v>
      </c>
      <c r="BF74">
        <v>0</v>
      </c>
    </row>
    <row r="75" spans="1:58" x14ac:dyDescent="0.25">
      <c r="A75" s="9" t="s">
        <v>160</v>
      </c>
      <c r="B75" s="9" t="s">
        <v>161</v>
      </c>
      <c r="C75" s="9" t="s">
        <v>60</v>
      </c>
      <c r="D75" s="9" t="s">
        <v>61</v>
      </c>
      <c r="E75" s="9" t="s">
        <v>114</v>
      </c>
      <c r="F75" s="9" t="s">
        <v>115</v>
      </c>
      <c r="G75" s="9" t="s">
        <v>160</v>
      </c>
      <c r="H75" s="9" t="s">
        <v>161</v>
      </c>
      <c r="I75" s="9" t="s">
        <v>261</v>
      </c>
      <c r="J75" s="28" t="s">
        <v>262</v>
      </c>
      <c r="K75" s="9">
        <v>8</v>
      </c>
      <c r="L75" s="9">
        <v>8</v>
      </c>
      <c r="M75" s="9">
        <v>218</v>
      </c>
      <c r="N75" s="9">
        <v>221</v>
      </c>
      <c r="O75" s="9">
        <v>230</v>
      </c>
      <c r="P75" s="9">
        <v>669</v>
      </c>
      <c r="Q75" s="26">
        <v>34</v>
      </c>
      <c r="R75" s="26">
        <v>51</v>
      </c>
      <c r="S75">
        <v>1</v>
      </c>
      <c r="T75">
        <v>0</v>
      </c>
      <c r="U75">
        <v>0</v>
      </c>
      <c r="V75">
        <v>1</v>
      </c>
      <c r="W75">
        <v>1</v>
      </c>
      <c r="X75">
        <v>1</v>
      </c>
      <c r="Y75"/>
      <c r="Z75">
        <v>1</v>
      </c>
      <c r="AA75">
        <v>1</v>
      </c>
      <c r="AB75">
        <v>0</v>
      </c>
      <c r="AC75">
        <v>1</v>
      </c>
      <c r="AD75">
        <v>0</v>
      </c>
      <c r="AE75">
        <v>0</v>
      </c>
      <c r="AF75">
        <v>5</v>
      </c>
      <c r="AG75" s="9">
        <v>21</v>
      </c>
      <c r="AH75" s="9">
        <v>13</v>
      </c>
      <c r="AI75" s="9">
        <v>7</v>
      </c>
      <c r="AJ75" s="9">
        <v>6</v>
      </c>
      <c r="AK75" s="9">
        <v>2</v>
      </c>
      <c r="AL75" s="9">
        <v>0</v>
      </c>
      <c r="AM75" s="9">
        <v>5</v>
      </c>
      <c r="AN75" s="9">
        <v>1</v>
      </c>
      <c r="AO75" s="9">
        <v>0</v>
      </c>
      <c r="AP75" s="9">
        <v>5</v>
      </c>
      <c r="AQ75" s="8">
        <v>5</v>
      </c>
      <c r="AR75" s="8">
        <v>8</v>
      </c>
      <c r="AS75" s="8">
        <v>5</v>
      </c>
      <c r="AT75">
        <v>1</v>
      </c>
      <c r="AU75">
        <v>3</v>
      </c>
      <c r="AV75">
        <v>135</v>
      </c>
      <c r="AW75">
        <v>1</v>
      </c>
      <c r="AX75">
        <f t="shared" si="2"/>
        <v>65</v>
      </c>
      <c r="AY75" s="8">
        <v>0</v>
      </c>
      <c r="AZ75" s="8">
        <v>0</v>
      </c>
      <c r="BA75" s="8">
        <v>0</v>
      </c>
      <c r="BB75" s="9">
        <v>0</v>
      </c>
      <c r="BC75" s="27">
        <v>0</v>
      </c>
      <c r="BD75">
        <v>1</v>
      </c>
      <c r="BE75">
        <v>1</v>
      </c>
      <c r="BF75">
        <v>0</v>
      </c>
    </row>
    <row r="76" spans="1:58" x14ac:dyDescent="0.25">
      <c r="A76" s="9" t="s">
        <v>160</v>
      </c>
      <c r="B76" s="9" t="s">
        <v>161</v>
      </c>
      <c r="C76" s="9" t="s">
        <v>60</v>
      </c>
      <c r="D76" s="9" t="s">
        <v>61</v>
      </c>
      <c r="E76" s="9" t="s">
        <v>114</v>
      </c>
      <c r="F76" s="9" t="s">
        <v>115</v>
      </c>
      <c r="G76" s="9" t="s">
        <v>160</v>
      </c>
      <c r="H76" s="9" t="s">
        <v>161</v>
      </c>
      <c r="I76" s="9" t="s">
        <v>162</v>
      </c>
      <c r="J76" s="28" t="s">
        <v>163</v>
      </c>
      <c r="K76" s="9">
        <v>9</v>
      </c>
      <c r="L76" s="9">
        <v>9</v>
      </c>
      <c r="M76" s="9">
        <v>192</v>
      </c>
      <c r="N76" s="9">
        <v>259</v>
      </c>
      <c r="O76" s="9">
        <v>165</v>
      </c>
      <c r="P76" s="9">
        <v>616</v>
      </c>
      <c r="Q76" s="26">
        <v>32</v>
      </c>
      <c r="R76" s="26">
        <v>48</v>
      </c>
      <c r="S76">
        <v>1</v>
      </c>
      <c r="T76">
        <v>0</v>
      </c>
      <c r="U76">
        <v>0</v>
      </c>
      <c r="V76">
        <v>1</v>
      </c>
      <c r="W76">
        <v>1</v>
      </c>
      <c r="X76">
        <v>1</v>
      </c>
      <c r="Y76"/>
      <c r="Z76">
        <v>1</v>
      </c>
      <c r="AA76">
        <v>1</v>
      </c>
      <c r="AB76">
        <v>0</v>
      </c>
      <c r="AC76">
        <v>0</v>
      </c>
      <c r="AD76">
        <v>0</v>
      </c>
      <c r="AE76">
        <v>0</v>
      </c>
      <c r="AF76">
        <v>5</v>
      </c>
      <c r="AG76" s="9">
        <v>21</v>
      </c>
      <c r="AH76" s="9">
        <v>12</v>
      </c>
      <c r="AI76" s="9">
        <v>8</v>
      </c>
      <c r="AJ76" s="9">
        <v>4</v>
      </c>
      <c r="AK76" s="9">
        <v>3</v>
      </c>
      <c r="AL76" s="9">
        <v>0</v>
      </c>
      <c r="AM76" s="9">
        <v>5</v>
      </c>
      <c r="AN76" s="9">
        <v>0</v>
      </c>
      <c r="AO76" s="9">
        <v>0</v>
      </c>
      <c r="AP76" s="9">
        <v>4</v>
      </c>
      <c r="AQ76" s="8">
        <v>3</v>
      </c>
      <c r="AR76" s="8">
        <v>7</v>
      </c>
      <c r="AS76" s="8">
        <v>3</v>
      </c>
      <c r="AT76">
        <v>1</v>
      </c>
      <c r="AU76">
        <v>3</v>
      </c>
      <c r="AV76">
        <v>135</v>
      </c>
      <c r="AW76">
        <v>2</v>
      </c>
      <c r="AX76">
        <f t="shared" si="2"/>
        <v>130</v>
      </c>
      <c r="AY76" s="8">
        <v>0</v>
      </c>
      <c r="AZ76" s="8">
        <v>0</v>
      </c>
      <c r="BA76" s="8">
        <v>0</v>
      </c>
      <c r="BB76" s="9">
        <v>0</v>
      </c>
      <c r="BC76" s="27">
        <v>0</v>
      </c>
      <c r="BD76">
        <v>1</v>
      </c>
      <c r="BE76">
        <v>1</v>
      </c>
      <c r="BF76">
        <v>0</v>
      </c>
    </row>
    <row r="77" spans="1:58" x14ac:dyDescent="0.25">
      <c r="A77" s="9" t="s">
        <v>160</v>
      </c>
      <c r="B77" s="9" t="s">
        <v>161</v>
      </c>
      <c r="C77" s="9" t="s">
        <v>60</v>
      </c>
      <c r="D77" s="9" t="s">
        <v>61</v>
      </c>
      <c r="E77" s="9" t="s">
        <v>114</v>
      </c>
      <c r="F77" s="9" t="s">
        <v>115</v>
      </c>
      <c r="G77" s="9" t="s">
        <v>160</v>
      </c>
      <c r="H77" s="9" t="s">
        <v>161</v>
      </c>
      <c r="I77" s="9" t="s">
        <v>342</v>
      </c>
      <c r="J77" s="28" t="s">
        <v>343</v>
      </c>
      <c r="K77" s="9">
        <v>8</v>
      </c>
      <c r="L77" s="9">
        <v>8</v>
      </c>
      <c r="M77" s="9">
        <v>193</v>
      </c>
      <c r="N77" s="9">
        <v>202</v>
      </c>
      <c r="O77" s="9">
        <v>220</v>
      </c>
      <c r="P77" s="9">
        <v>615</v>
      </c>
      <c r="Q77" s="26">
        <v>32</v>
      </c>
      <c r="R77" s="26">
        <v>48</v>
      </c>
      <c r="S77">
        <v>1</v>
      </c>
      <c r="T77">
        <v>0</v>
      </c>
      <c r="U77">
        <v>0</v>
      </c>
      <c r="V77">
        <v>1</v>
      </c>
      <c r="W77">
        <v>1</v>
      </c>
      <c r="X77">
        <v>1</v>
      </c>
      <c r="Y77"/>
      <c r="Z77">
        <v>1</v>
      </c>
      <c r="AA77">
        <v>1</v>
      </c>
      <c r="AB77">
        <v>0</v>
      </c>
      <c r="AC77">
        <v>0</v>
      </c>
      <c r="AD77">
        <v>0</v>
      </c>
      <c r="AE77">
        <v>0</v>
      </c>
      <c r="AF77">
        <v>5</v>
      </c>
      <c r="AG77" s="9">
        <v>25</v>
      </c>
      <c r="AH77" s="9">
        <v>13</v>
      </c>
      <c r="AI77" s="9">
        <v>8</v>
      </c>
      <c r="AJ77" s="9">
        <v>5</v>
      </c>
      <c r="AK77" s="9">
        <v>0</v>
      </c>
      <c r="AL77" s="9">
        <v>0</v>
      </c>
      <c r="AM77" s="9">
        <v>8</v>
      </c>
      <c r="AN77" s="9">
        <v>1</v>
      </c>
      <c r="AO77" s="9">
        <v>0</v>
      </c>
      <c r="AP77" s="9">
        <v>4</v>
      </c>
      <c r="AQ77" s="8">
        <v>4</v>
      </c>
      <c r="AR77" s="8">
        <v>10</v>
      </c>
      <c r="AS77" s="8">
        <v>4</v>
      </c>
      <c r="AT77">
        <v>1</v>
      </c>
      <c r="AU77">
        <v>3</v>
      </c>
      <c r="AV77">
        <v>135</v>
      </c>
      <c r="AW77">
        <v>2</v>
      </c>
      <c r="AX77">
        <f t="shared" si="2"/>
        <v>130</v>
      </c>
      <c r="AY77" s="8">
        <v>0</v>
      </c>
      <c r="AZ77" s="8">
        <v>0</v>
      </c>
      <c r="BA77" s="8">
        <v>1</v>
      </c>
      <c r="BB77" s="9">
        <v>2</v>
      </c>
      <c r="BC77" s="27">
        <v>0</v>
      </c>
      <c r="BD77">
        <v>1</v>
      </c>
      <c r="BE77">
        <v>1</v>
      </c>
      <c r="BF77">
        <v>0</v>
      </c>
    </row>
    <row r="78" spans="1:58" x14ac:dyDescent="0.25">
      <c r="A78" s="9" t="s">
        <v>166</v>
      </c>
      <c r="B78" s="9" t="s">
        <v>167</v>
      </c>
      <c r="C78" s="9" t="s">
        <v>60</v>
      </c>
      <c r="D78" s="9" t="s">
        <v>61</v>
      </c>
      <c r="E78" s="9" t="s">
        <v>88</v>
      </c>
      <c r="F78" s="9" t="s">
        <v>89</v>
      </c>
      <c r="G78" s="9" t="s">
        <v>166</v>
      </c>
      <c r="H78" s="9" t="s">
        <v>167</v>
      </c>
      <c r="I78" s="9" t="s">
        <v>318</v>
      </c>
      <c r="J78" s="28" t="s">
        <v>319</v>
      </c>
      <c r="K78" s="9">
        <v>12</v>
      </c>
      <c r="L78" s="9">
        <v>12</v>
      </c>
      <c r="M78" s="9">
        <v>154</v>
      </c>
      <c r="N78" s="9">
        <v>223</v>
      </c>
      <c r="O78" s="9">
        <v>188</v>
      </c>
      <c r="P78" s="9">
        <v>565</v>
      </c>
      <c r="Q78" s="26">
        <v>32</v>
      </c>
      <c r="R78" s="26">
        <v>48</v>
      </c>
      <c r="S78">
        <v>1</v>
      </c>
      <c r="T78">
        <v>0</v>
      </c>
      <c r="U78">
        <v>0</v>
      </c>
      <c r="V78">
        <v>1</v>
      </c>
      <c r="W78">
        <v>1</v>
      </c>
      <c r="X78">
        <v>1</v>
      </c>
      <c r="Y78"/>
      <c r="Z78">
        <v>1</v>
      </c>
      <c r="AA78">
        <v>1</v>
      </c>
      <c r="AB78">
        <v>0</v>
      </c>
      <c r="AC78">
        <v>0</v>
      </c>
      <c r="AD78">
        <v>0</v>
      </c>
      <c r="AE78">
        <v>0</v>
      </c>
      <c r="AF78">
        <v>5</v>
      </c>
      <c r="AG78" s="9">
        <v>38</v>
      </c>
      <c r="AH78" s="9">
        <v>19</v>
      </c>
      <c r="AI78" s="9">
        <v>10</v>
      </c>
      <c r="AJ78" s="9">
        <v>9</v>
      </c>
      <c r="AK78" s="9">
        <v>2</v>
      </c>
      <c r="AL78" s="9">
        <v>0</v>
      </c>
      <c r="AM78" s="9">
        <v>8</v>
      </c>
      <c r="AN78" s="9">
        <v>2</v>
      </c>
      <c r="AO78" s="9">
        <v>1</v>
      </c>
      <c r="AP78" s="9">
        <v>6</v>
      </c>
      <c r="AQ78" s="8">
        <v>7</v>
      </c>
      <c r="AR78" s="8">
        <v>11</v>
      </c>
      <c r="AS78" s="8">
        <v>4</v>
      </c>
      <c r="AT78">
        <v>1</v>
      </c>
      <c r="AU78">
        <v>4</v>
      </c>
      <c r="AV78">
        <v>180</v>
      </c>
      <c r="AW78">
        <v>1</v>
      </c>
      <c r="AX78">
        <f t="shared" si="2"/>
        <v>65</v>
      </c>
      <c r="AY78" s="8">
        <v>0</v>
      </c>
      <c r="AZ78" s="8">
        <v>0</v>
      </c>
      <c r="BA78" s="8">
        <v>1</v>
      </c>
      <c r="BB78" s="9">
        <v>0</v>
      </c>
      <c r="BC78" s="27">
        <v>0</v>
      </c>
      <c r="BD78">
        <v>1</v>
      </c>
      <c r="BE78">
        <v>1</v>
      </c>
      <c r="BF78">
        <v>0</v>
      </c>
    </row>
    <row r="79" spans="1:58" x14ac:dyDescent="0.25">
      <c r="A79" s="9" t="s">
        <v>166</v>
      </c>
      <c r="B79" s="9" t="s">
        <v>167</v>
      </c>
      <c r="C79" s="9" t="s">
        <v>60</v>
      </c>
      <c r="D79" s="9" t="s">
        <v>61</v>
      </c>
      <c r="E79" s="9" t="s">
        <v>88</v>
      </c>
      <c r="F79" s="9" t="s">
        <v>89</v>
      </c>
      <c r="G79" s="9" t="s">
        <v>88</v>
      </c>
      <c r="H79" s="9" t="s">
        <v>118</v>
      </c>
      <c r="I79" s="9" t="s">
        <v>322</v>
      </c>
      <c r="J79" s="28" t="s">
        <v>323</v>
      </c>
      <c r="K79" s="9">
        <v>13</v>
      </c>
      <c r="L79" s="9">
        <v>13</v>
      </c>
      <c r="M79" s="9">
        <v>264</v>
      </c>
      <c r="N79" s="9">
        <v>300</v>
      </c>
      <c r="O79" s="9">
        <v>194</v>
      </c>
      <c r="P79" s="9">
        <v>758</v>
      </c>
      <c r="Q79" s="26">
        <v>37</v>
      </c>
      <c r="R79" s="26">
        <v>55</v>
      </c>
      <c r="S79">
        <v>1</v>
      </c>
      <c r="T79">
        <v>0</v>
      </c>
      <c r="U79">
        <v>0</v>
      </c>
      <c r="V79">
        <v>1</v>
      </c>
      <c r="W79">
        <v>1</v>
      </c>
      <c r="X79">
        <v>1</v>
      </c>
      <c r="Y79"/>
      <c r="Z79">
        <v>1</v>
      </c>
      <c r="AA79">
        <v>1</v>
      </c>
      <c r="AB79">
        <v>0</v>
      </c>
      <c r="AC79">
        <v>0</v>
      </c>
      <c r="AD79">
        <v>0</v>
      </c>
      <c r="AE79">
        <v>0</v>
      </c>
      <c r="AF79">
        <v>5</v>
      </c>
      <c r="AG79" s="9">
        <v>54</v>
      </c>
      <c r="AH79" s="9">
        <v>22</v>
      </c>
      <c r="AI79" s="9">
        <v>13</v>
      </c>
      <c r="AJ79" s="9">
        <v>9</v>
      </c>
      <c r="AK79" s="9">
        <v>2</v>
      </c>
      <c r="AL79" s="9">
        <v>1</v>
      </c>
      <c r="AM79" s="9">
        <v>10</v>
      </c>
      <c r="AN79" s="9">
        <v>2</v>
      </c>
      <c r="AO79" s="9">
        <v>0</v>
      </c>
      <c r="AP79" s="9">
        <v>7</v>
      </c>
      <c r="AQ79" s="8">
        <v>7</v>
      </c>
      <c r="AR79" s="8">
        <v>10</v>
      </c>
      <c r="AS79" s="8">
        <v>7</v>
      </c>
      <c r="AT79">
        <v>1</v>
      </c>
      <c r="AU79">
        <v>3</v>
      </c>
      <c r="AV79">
        <v>135</v>
      </c>
      <c r="AW79">
        <v>2</v>
      </c>
      <c r="AX79">
        <f t="shared" si="2"/>
        <v>130</v>
      </c>
      <c r="AY79" s="8">
        <v>1</v>
      </c>
      <c r="AZ79" s="8">
        <v>0</v>
      </c>
      <c r="BA79" s="8">
        <v>2</v>
      </c>
      <c r="BB79" s="9">
        <v>0</v>
      </c>
      <c r="BC79" s="27">
        <v>0</v>
      </c>
      <c r="BD79">
        <v>1</v>
      </c>
      <c r="BE79">
        <v>1</v>
      </c>
      <c r="BF79">
        <v>0</v>
      </c>
    </row>
    <row r="80" spans="1:58" x14ac:dyDescent="0.25">
      <c r="A80" s="9" t="s">
        <v>166</v>
      </c>
      <c r="B80" s="9" t="s">
        <v>167</v>
      </c>
      <c r="C80" s="9" t="s">
        <v>60</v>
      </c>
      <c r="D80" s="9" t="s">
        <v>61</v>
      </c>
      <c r="E80" s="9" t="s">
        <v>88</v>
      </c>
      <c r="F80" s="9" t="s">
        <v>89</v>
      </c>
      <c r="G80" s="9" t="s">
        <v>88</v>
      </c>
      <c r="H80" s="9" t="s">
        <v>118</v>
      </c>
      <c r="I80" s="9" t="s">
        <v>272</v>
      </c>
      <c r="J80" s="28" t="s">
        <v>273</v>
      </c>
      <c r="K80" s="9">
        <v>13</v>
      </c>
      <c r="L80" s="9">
        <v>13</v>
      </c>
      <c r="M80" s="9">
        <v>259</v>
      </c>
      <c r="N80" s="9">
        <v>308</v>
      </c>
      <c r="O80" s="9">
        <v>230</v>
      </c>
      <c r="P80" s="9">
        <v>797</v>
      </c>
      <c r="Q80" s="26">
        <v>39</v>
      </c>
      <c r="R80" s="26">
        <v>59</v>
      </c>
      <c r="S80">
        <v>1</v>
      </c>
      <c r="T80">
        <v>0</v>
      </c>
      <c r="U80">
        <v>0</v>
      </c>
      <c r="V80">
        <v>1</v>
      </c>
      <c r="W80">
        <v>1</v>
      </c>
      <c r="X80">
        <v>1</v>
      </c>
      <c r="Y80"/>
      <c r="Z80">
        <v>1</v>
      </c>
      <c r="AA80">
        <v>1</v>
      </c>
      <c r="AB80">
        <v>0</v>
      </c>
      <c r="AC80">
        <v>1</v>
      </c>
      <c r="AD80">
        <v>0</v>
      </c>
      <c r="AE80">
        <v>0</v>
      </c>
      <c r="AF80">
        <v>5</v>
      </c>
      <c r="AG80" s="9">
        <v>43</v>
      </c>
      <c r="AH80" s="9">
        <v>23</v>
      </c>
      <c r="AI80" s="9">
        <v>11</v>
      </c>
      <c r="AJ80" s="9">
        <v>11</v>
      </c>
      <c r="AK80" s="9">
        <v>3</v>
      </c>
      <c r="AL80" s="9">
        <v>0</v>
      </c>
      <c r="AM80" s="9">
        <v>8</v>
      </c>
      <c r="AN80" s="9">
        <v>0</v>
      </c>
      <c r="AO80" s="9">
        <v>0</v>
      </c>
      <c r="AP80" s="9">
        <v>11</v>
      </c>
      <c r="AQ80" s="8">
        <v>11</v>
      </c>
      <c r="AR80" s="8">
        <v>13</v>
      </c>
      <c r="AS80" s="8">
        <v>11</v>
      </c>
      <c r="AT80">
        <v>1</v>
      </c>
      <c r="AU80">
        <v>3</v>
      </c>
      <c r="AV80">
        <v>135</v>
      </c>
      <c r="AW80">
        <v>1</v>
      </c>
      <c r="AX80">
        <f t="shared" si="2"/>
        <v>65</v>
      </c>
      <c r="AY80" s="8">
        <v>0</v>
      </c>
      <c r="AZ80" s="8">
        <v>0</v>
      </c>
      <c r="BA80" s="8">
        <v>0</v>
      </c>
      <c r="BB80" s="9">
        <v>0</v>
      </c>
      <c r="BC80" s="27">
        <v>0</v>
      </c>
      <c r="BD80">
        <v>1</v>
      </c>
      <c r="BE80">
        <v>1</v>
      </c>
      <c r="BF80">
        <v>0</v>
      </c>
    </row>
    <row r="81" spans="1:58" x14ac:dyDescent="0.25">
      <c r="A81" s="9" t="s">
        <v>166</v>
      </c>
      <c r="B81" s="9" t="s">
        <v>167</v>
      </c>
      <c r="C81" s="9" t="s">
        <v>60</v>
      </c>
      <c r="D81" s="9" t="s">
        <v>61</v>
      </c>
      <c r="E81" s="9" t="s">
        <v>88</v>
      </c>
      <c r="F81" s="9" t="s">
        <v>89</v>
      </c>
      <c r="G81" s="9" t="s">
        <v>166</v>
      </c>
      <c r="H81" s="9" t="s">
        <v>167</v>
      </c>
      <c r="I81" s="9" t="s">
        <v>168</v>
      </c>
      <c r="J81" s="28" t="s">
        <v>169</v>
      </c>
      <c r="K81" s="9">
        <v>12</v>
      </c>
      <c r="L81" s="9">
        <v>12</v>
      </c>
      <c r="M81" s="9">
        <v>174</v>
      </c>
      <c r="N81" s="9">
        <v>256</v>
      </c>
      <c r="O81" s="9">
        <v>175</v>
      </c>
      <c r="P81" s="9">
        <v>605</v>
      </c>
      <c r="Q81" s="26">
        <v>32</v>
      </c>
      <c r="R81" s="26">
        <v>48</v>
      </c>
      <c r="S81">
        <v>1</v>
      </c>
      <c r="T81">
        <v>0</v>
      </c>
      <c r="U81">
        <v>0</v>
      </c>
      <c r="V81">
        <v>1</v>
      </c>
      <c r="W81">
        <v>1</v>
      </c>
      <c r="X81">
        <v>1</v>
      </c>
      <c r="Y81"/>
      <c r="Z81">
        <v>1</v>
      </c>
      <c r="AA81">
        <v>1</v>
      </c>
      <c r="AB81">
        <v>0</v>
      </c>
      <c r="AC81">
        <v>0</v>
      </c>
      <c r="AD81">
        <v>0</v>
      </c>
      <c r="AE81">
        <v>0</v>
      </c>
      <c r="AF81">
        <v>5</v>
      </c>
      <c r="AG81" s="9">
        <v>41</v>
      </c>
      <c r="AH81" s="9">
        <v>18</v>
      </c>
      <c r="AI81" s="9">
        <v>11</v>
      </c>
      <c r="AJ81" s="9">
        <v>7</v>
      </c>
      <c r="AK81" s="9">
        <v>1</v>
      </c>
      <c r="AL81" s="9">
        <v>0</v>
      </c>
      <c r="AM81" s="9">
        <v>10</v>
      </c>
      <c r="AN81" s="9">
        <v>0</v>
      </c>
      <c r="AO81" s="9">
        <v>2</v>
      </c>
      <c r="AP81" s="9">
        <v>5</v>
      </c>
      <c r="AQ81" s="8">
        <v>7</v>
      </c>
      <c r="AR81" s="8">
        <v>9</v>
      </c>
      <c r="AS81" s="8">
        <v>4</v>
      </c>
      <c r="AT81">
        <v>1</v>
      </c>
      <c r="AU81">
        <v>4</v>
      </c>
      <c r="AV81">
        <v>180</v>
      </c>
      <c r="AW81">
        <v>1</v>
      </c>
      <c r="AX81">
        <f t="shared" si="2"/>
        <v>65</v>
      </c>
      <c r="AY81" s="8">
        <v>0</v>
      </c>
      <c r="AZ81" s="8">
        <v>0</v>
      </c>
      <c r="BA81" s="8">
        <v>1</v>
      </c>
      <c r="BB81" s="9">
        <v>0</v>
      </c>
      <c r="BC81" s="27">
        <v>0</v>
      </c>
      <c r="BD81">
        <v>1</v>
      </c>
      <c r="BE81">
        <v>1</v>
      </c>
      <c r="BF81">
        <v>0</v>
      </c>
    </row>
    <row r="82" spans="1:58" x14ac:dyDescent="0.25">
      <c r="A82" s="8" t="s">
        <v>92</v>
      </c>
      <c r="B82" s="8" t="s">
        <v>93</v>
      </c>
      <c r="C82" s="8" t="s">
        <v>60</v>
      </c>
      <c r="D82" s="8" t="s">
        <v>61</v>
      </c>
      <c r="E82" s="8" t="s">
        <v>94</v>
      </c>
      <c r="F82" s="8" t="s">
        <v>95</v>
      </c>
      <c r="G82" s="8" t="s">
        <v>92</v>
      </c>
      <c r="H82" s="8" t="s">
        <v>93</v>
      </c>
      <c r="I82" s="8" t="s">
        <v>96</v>
      </c>
      <c r="J82" s="29" t="s">
        <v>97</v>
      </c>
      <c r="K82" s="8">
        <v>13</v>
      </c>
      <c r="L82" s="8">
        <v>13</v>
      </c>
      <c r="M82" s="8">
        <v>287</v>
      </c>
      <c r="N82" s="8">
        <v>244</v>
      </c>
      <c r="O82" s="8">
        <v>200</v>
      </c>
      <c r="P82" s="8">
        <v>731</v>
      </c>
      <c r="Q82" s="26">
        <v>34</v>
      </c>
      <c r="R82" s="26">
        <v>51</v>
      </c>
      <c r="S82">
        <v>1</v>
      </c>
      <c r="T82">
        <v>0</v>
      </c>
      <c r="U82">
        <v>0</v>
      </c>
      <c r="V82">
        <v>1</v>
      </c>
      <c r="W82">
        <v>1</v>
      </c>
      <c r="X82">
        <v>1</v>
      </c>
      <c r="Y82"/>
      <c r="Z82">
        <v>1</v>
      </c>
      <c r="AA82">
        <v>1</v>
      </c>
      <c r="AB82">
        <v>0</v>
      </c>
      <c r="AC82">
        <v>0</v>
      </c>
      <c r="AD82">
        <v>0</v>
      </c>
      <c r="AE82">
        <v>0</v>
      </c>
      <c r="AF82">
        <v>5</v>
      </c>
      <c r="AG82" s="8">
        <v>59</v>
      </c>
      <c r="AH82" s="8">
        <v>22</v>
      </c>
      <c r="AI82" s="8">
        <v>14</v>
      </c>
      <c r="AJ82" s="8">
        <v>8</v>
      </c>
      <c r="AK82" s="8">
        <v>7</v>
      </c>
      <c r="AL82" s="8">
        <v>0</v>
      </c>
      <c r="AM82" s="8">
        <v>7</v>
      </c>
      <c r="AN82" s="8">
        <v>2</v>
      </c>
      <c r="AO82" s="8">
        <v>0</v>
      </c>
      <c r="AP82" s="8">
        <v>6</v>
      </c>
      <c r="AQ82" s="8">
        <v>5</v>
      </c>
      <c r="AR82" s="8">
        <v>10</v>
      </c>
      <c r="AS82" s="8">
        <v>5</v>
      </c>
      <c r="AT82">
        <v>1</v>
      </c>
      <c r="AU82">
        <v>3</v>
      </c>
      <c r="AV82">
        <v>135</v>
      </c>
      <c r="AW82">
        <v>1</v>
      </c>
      <c r="AX82">
        <f t="shared" si="2"/>
        <v>65</v>
      </c>
      <c r="AY82" s="8">
        <v>0</v>
      </c>
      <c r="AZ82" s="8">
        <v>0</v>
      </c>
      <c r="BA82" s="8">
        <v>1</v>
      </c>
      <c r="BB82" s="8">
        <v>1</v>
      </c>
      <c r="BC82" s="27">
        <v>0</v>
      </c>
      <c r="BD82">
        <v>1</v>
      </c>
      <c r="BE82">
        <v>1</v>
      </c>
      <c r="BF82">
        <v>0</v>
      </c>
    </row>
    <row r="83" spans="1:58" x14ac:dyDescent="0.25">
      <c r="A83" s="9" t="s">
        <v>92</v>
      </c>
      <c r="B83" s="9" t="s">
        <v>93</v>
      </c>
      <c r="C83" s="9" t="s">
        <v>60</v>
      </c>
      <c r="D83" s="9" t="s">
        <v>61</v>
      </c>
      <c r="E83" s="9" t="s">
        <v>94</v>
      </c>
      <c r="F83" s="9" t="s">
        <v>95</v>
      </c>
      <c r="G83" s="9" t="s">
        <v>92</v>
      </c>
      <c r="H83" s="9" t="s">
        <v>93</v>
      </c>
      <c r="I83" s="9" t="s">
        <v>274</v>
      </c>
      <c r="J83" s="28" t="s">
        <v>275</v>
      </c>
      <c r="K83" s="9">
        <v>12</v>
      </c>
      <c r="L83" s="9">
        <v>12</v>
      </c>
      <c r="M83" s="9">
        <v>242</v>
      </c>
      <c r="N83" s="9">
        <v>197</v>
      </c>
      <c r="O83" s="9">
        <v>266</v>
      </c>
      <c r="P83" s="9">
        <v>705</v>
      </c>
      <c r="Q83" s="26">
        <v>34</v>
      </c>
      <c r="R83" s="26">
        <v>51</v>
      </c>
      <c r="S83">
        <v>1</v>
      </c>
      <c r="T83">
        <v>0</v>
      </c>
      <c r="U83">
        <v>0</v>
      </c>
      <c r="V83">
        <v>1</v>
      </c>
      <c r="W83">
        <v>1</v>
      </c>
      <c r="X83">
        <v>1</v>
      </c>
      <c r="Y83"/>
      <c r="Z83">
        <v>1</v>
      </c>
      <c r="AA83">
        <v>1</v>
      </c>
      <c r="AB83">
        <v>0</v>
      </c>
      <c r="AC83">
        <v>0</v>
      </c>
      <c r="AD83">
        <v>0</v>
      </c>
      <c r="AE83">
        <v>0</v>
      </c>
      <c r="AF83">
        <v>5</v>
      </c>
      <c r="AG83" s="9">
        <v>44</v>
      </c>
      <c r="AH83" s="9">
        <v>21</v>
      </c>
      <c r="AI83" s="9">
        <v>10</v>
      </c>
      <c r="AJ83" s="9">
        <v>11</v>
      </c>
      <c r="AK83" s="9">
        <v>2</v>
      </c>
      <c r="AL83" s="9">
        <v>0</v>
      </c>
      <c r="AM83" s="9">
        <v>8</v>
      </c>
      <c r="AN83" s="9">
        <v>0</v>
      </c>
      <c r="AO83" s="9">
        <v>2</v>
      </c>
      <c r="AP83" s="9">
        <v>9</v>
      </c>
      <c r="AQ83" s="8">
        <v>11</v>
      </c>
      <c r="AR83" s="8">
        <v>12</v>
      </c>
      <c r="AS83" s="8">
        <v>10</v>
      </c>
      <c r="AT83">
        <v>1</v>
      </c>
      <c r="AU83">
        <v>3</v>
      </c>
      <c r="AV83">
        <v>135</v>
      </c>
      <c r="AW83">
        <v>1</v>
      </c>
      <c r="AX83">
        <f t="shared" si="2"/>
        <v>65</v>
      </c>
      <c r="AY83" s="8">
        <v>0</v>
      </c>
      <c r="AZ83" s="8">
        <v>0</v>
      </c>
      <c r="BA83" s="8">
        <v>2</v>
      </c>
      <c r="BB83" s="9">
        <v>1</v>
      </c>
      <c r="BC83" s="27">
        <v>0</v>
      </c>
      <c r="BD83">
        <v>1</v>
      </c>
      <c r="BE83">
        <v>1</v>
      </c>
      <c r="BF83">
        <v>0</v>
      </c>
    </row>
    <row r="84" spans="1:58" x14ac:dyDescent="0.25">
      <c r="A84" s="9" t="s">
        <v>92</v>
      </c>
      <c r="B84" s="9" t="s">
        <v>93</v>
      </c>
      <c r="C84" s="9" t="s">
        <v>60</v>
      </c>
      <c r="D84" s="9" t="s">
        <v>61</v>
      </c>
      <c r="E84" s="9" t="s">
        <v>94</v>
      </c>
      <c r="F84" s="9" t="s">
        <v>95</v>
      </c>
      <c r="G84" s="9" t="s">
        <v>92</v>
      </c>
      <c r="H84" s="9" t="s">
        <v>93</v>
      </c>
      <c r="I84" s="9" t="s">
        <v>190</v>
      </c>
      <c r="J84" s="28" t="s">
        <v>191</v>
      </c>
      <c r="K84" s="9">
        <v>13</v>
      </c>
      <c r="L84" s="9">
        <v>13</v>
      </c>
      <c r="M84" s="9">
        <v>293</v>
      </c>
      <c r="N84" s="9">
        <v>319</v>
      </c>
      <c r="O84" s="9">
        <v>177</v>
      </c>
      <c r="P84" s="9">
        <v>789</v>
      </c>
      <c r="Q84" s="26">
        <v>36</v>
      </c>
      <c r="R84" s="26">
        <v>54</v>
      </c>
      <c r="S84">
        <v>1</v>
      </c>
      <c r="T84">
        <v>0</v>
      </c>
      <c r="U84">
        <v>0</v>
      </c>
      <c r="V84">
        <v>1</v>
      </c>
      <c r="W84">
        <v>1</v>
      </c>
      <c r="X84">
        <v>1</v>
      </c>
      <c r="Y84"/>
      <c r="Z84">
        <v>1</v>
      </c>
      <c r="AA84">
        <v>1</v>
      </c>
      <c r="AB84">
        <v>0</v>
      </c>
      <c r="AC84">
        <v>1</v>
      </c>
      <c r="AD84">
        <v>0</v>
      </c>
      <c r="AE84">
        <v>0</v>
      </c>
      <c r="AF84">
        <v>5</v>
      </c>
      <c r="AG84" s="9">
        <v>51</v>
      </c>
      <c r="AH84" s="9">
        <v>25</v>
      </c>
      <c r="AI84" s="9">
        <v>14</v>
      </c>
      <c r="AJ84" s="9">
        <v>11</v>
      </c>
      <c r="AK84" s="9">
        <v>3</v>
      </c>
      <c r="AL84" s="9">
        <v>0</v>
      </c>
      <c r="AM84" s="9">
        <v>11</v>
      </c>
      <c r="AN84" s="9">
        <v>5</v>
      </c>
      <c r="AO84" s="9">
        <v>0</v>
      </c>
      <c r="AP84" s="9">
        <v>6</v>
      </c>
      <c r="AQ84" s="8">
        <v>6</v>
      </c>
      <c r="AR84" s="8">
        <v>10</v>
      </c>
      <c r="AS84" s="8">
        <v>5</v>
      </c>
      <c r="AT84">
        <v>1</v>
      </c>
      <c r="AU84">
        <v>3</v>
      </c>
      <c r="AV84">
        <v>135</v>
      </c>
      <c r="AW84">
        <v>1</v>
      </c>
      <c r="AX84">
        <f t="shared" si="2"/>
        <v>65</v>
      </c>
      <c r="AY84" s="8">
        <v>0</v>
      </c>
      <c r="AZ84" s="8">
        <v>0</v>
      </c>
      <c r="BA84" s="8">
        <v>0</v>
      </c>
      <c r="BB84" s="9">
        <v>0</v>
      </c>
      <c r="BC84" s="27">
        <v>0</v>
      </c>
      <c r="BD84">
        <v>1</v>
      </c>
      <c r="BE84">
        <v>1</v>
      </c>
      <c r="BF84">
        <v>0</v>
      </c>
    </row>
    <row r="85" spans="1:58" x14ac:dyDescent="0.25">
      <c r="A85" s="9" t="s">
        <v>88</v>
      </c>
      <c r="B85" s="9" t="s">
        <v>118</v>
      </c>
      <c r="C85" s="9" t="s">
        <v>60</v>
      </c>
      <c r="D85" s="9" t="s">
        <v>61</v>
      </c>
      <c r="E85" s="9" t="s">
        <v>88</v>
      </c>
      <c r="F85" s="9" t="s">
        <v>89</v>
      </c>
      <c r="G85" s="9" t="s">
        <v>88</v>
      </c>
      <c r="H85" s="9" t="s">
        <v>118</v>
      </c>
      <c r="I85" s="9" t="s">
        <v>126</v>
      </c>
      <c r="J85" s="28" t="s">
        <v>127</v>
      </c>
      <c r="K85" s="9">
        <v>12</v>
      </c>
      <c r="L85" s="9">
        <v>12</v>
      </c>
      <c r="M85" s="9">
        <v>181</v>
      </c>
      <c r="N85" s="9">
        <v>277</v>
      </c>
      <c r="O85" s="9">
        <v>255</v>
      </c>
      <c r="P85" s="9">
        <v>713</v>
      </c>
      <c r="Q85" s="26">
        <v>38</v>
      </c>
      <c r="R85" s="26">
        <v>57</v>
      </c>
      <c r="S85">
        <v>1</v>
      </c>
      <c r="T85">
        <v>0</v>
      </c>
      <c r="U85">
        <v>0</v>
      </c>
      <c r="V85">
        <v>1</v>
      </c>
      <c r="W85">
        <v>1</v>
      </c>
      <c r="X85">
        <v>1</v>
      </c>
      <c r="Y85"/>
      <c r="Z85">
        <v>1</v>
      </c>
      <c r="AA85">
        <v>1</v>
      </c>
      <c r="AB85">
        <v>0</v>
      </c>
      <c r="AC85">
        <v>0</v>
      </c>
      <c r="AD85">
        <v>0</v>
      </c>
      <c r="AE85">
        <v>0</v>
      </c>
      <c r="AF85">
        <v>5</v>
      </c>
      <c r="AG85" s="9">
        <v>30</v>
      </c>
      <c r="AH85" s="9">
        <v>18</v>
      </c>
      <c r="AI85" s="9">
        <v>14</v>
      </c>
      <c r="AJ85" s="9">
        <v>4</v>
      </c>
      <c r="AK85" s="9">
        <v>2</v>
      </c>
      <c r="AL85" s="9">
        <v>0</v>
      </c>
      <c r="AM85" s="9">
        <v>12</v>
      </c>
      <c r="AN85" s="9">
        <v>0</v>
      </c>
      <c r="AO85" s="9">
        <v>0</v>
      </c>
      <c r="AP85" s="9">
        <v>4</v>
      </c>
      <c r="AQ85" s="8">
        <v>4</v>
      </c>
      <c r="AR85" s="8">
        <v>13</v>
      </c>
      <c r="AS85" s="8">
        <v>3</v>
      </c>
      <c r="AT85">
        <v>1</v>
      </c>
      <c r="AU85">
        <v>3</v>
      </c>
      <c r="AV85">
        <v>135</v>
      </c>
      <c r="AW85">
        <v>1</v>
      </c>
      <c r="AX85">
        <f t="shared" si="2"/>
        <v>65</v>
      </c>
      <c r="AY85" s="8">
        <v>0</v>
      </c>
      <c r="AZ85" s="8">
        <v>0</v>
      </c>
      <c r="BA85" s="8">
        <v>0</v>
      </c>
      <c r="BB85" s="9">
        <v>1</v>
      </c>
      <c r="BC85" s="27">
        <v>0</v>
      </c>
      <c r="BD85">
        <v>1</v>
      </c>
      <c r="BE85">
        <v>1</v>
      </c>
      <c r="BF85">
        <v>0</v>
      </c>
    </row>
    <row r="86" spans="1:58" x14ac:dyDescent="0.25">
      <c r="A86" s="9" t="s">
        <v>88</v>
      </c>
      <c r="B86" s="9" t="s">
        <v>118</v>
      </c>
      <c r="C86" s="9" t="s">
        <v>60</v>
      </c>
      <c r="D86" s="9" t="s">
        <v>61</v>
      </c>
      <c r="E86" s="9" t="s">
        <v>88</v>
      </c>
      <c r="F86" s="9" t="s">
        <v>89</v>
      </c>
      <c r="G86" s="9" t="s">
        <v>88</v>
      </c>
      <c r="H86" s="9" t="s">
        <v>118</v>
      </c>
      <c r="I86" s="9" t="s">
        <v>414</v>
      </c>
      <c r="J86" s="28" t="s">
        <v>415</v>
      </c>
      <c r="K86" s="9">
        <v>14</v>
      </c>
      <c r="L86" s="9">
        <v>14</v>
      </c>
      <c r="M86" s="9">
        <v>227</v>
      </c>
      <c r="N86" s="9">
        <v>263</v>
      </c>
      <c r="O86" s="9">
        <v>168</v>
      </c>
      <c r="P86" s="9">
        <v>658</v>
      </c>
      <c r="Q86" s="26">
        <v>32</v>
      </c>
      <c r="R86" s="26">
        <v>48</v>
      </c>
      <c r="S86">
        <v>1</v>
      </c>
      <c r="T86">
        <v>0</v>
      </c>
      <c r="U86">
        <v>0</v>
      </c>
      <c r="V86">
        <v>1</v>
      </c>
      <c r="W86">
        <v>1</v>
      </c>
      <c r="X86">
        <v>1</v>
      </c>
      <c r="Y86"/>
      <c r="Z86">
        <v>1</v>
      </c>
      <c r="AA86">
        <v>1</v>
      </c>
      <c r="AB86">
        <v>0</v>
      </c>
      <c r="AC86">
        <v>0</v>
      </c>
      <c r="AD86">
        <v>0</v>
      </c>
      <c r="AE86">
        <v>0</v>
      </c>
      <c r="AF86">
        <v>5</v>
      </c>
      <c r="AG86" s="9">
        <v>45</v>
      </c>
      <c r="AH86" s="9">
        <v>25</v>
      </c>
      <c r="AI86" s="9">
        <v>15</v>
      </c>
      <c r="AJ86" s="9">
        <v>10</v>
      </c>
      <c r="AK86" s="9">
        <v>3</v>
      </c>
      <c r="AL86" s="9">
        <v>0</v>
      </c>
      <c r="AM86" s="9">
        <v>12</v>
      </c>
      <c r="AN86" s="9">
        <v>0</v>
      </c>
      <c r="AO86" s="9">
        <v>1</v>
      </c>
      <c r="AP86" s="9">
        <v>9</v>
      </c>
      <c r="AQ86" s="8">
        <v>10</v>
      </c>
      <c r="AR86" s="8">
        <v>13</v>
      </c>
      <c r="AS86" s="8">
        <v>8</v>
      </c>
      <c r="AT86">
        <v>1</v>
      </c>
      <c r="AU86">
        <v>4</v>
      </c>
      <c r="AV86">
        <v>180</v>
      </c>
      <c r="AW86">
        <v>1</v>
      </c>
      <c r="AX86">
        <f t="shared" si="2"/>
        <v>65</v>
      </c>
      <c r="AY86" s="8">
        <v>1</v>
      </c>
      <c r="AZ86" s="8">
        <v>1</v>
      </c>
      <c r="BA86" s="8">
        <v>2</v>
      </c>
      <c r="BB86" s="9">
        <v>3</v>
      </c>
      <c r="BC86" s="27">
        <v>0</v>
      </c>
      <c r="BD86">
        <v>1</v>
      </c>
      <c r="BE86">
        <v>1</v>
      </c>
      <c r="BF86">
        <v>0</v>
      </c>
    </row>
    <row r="87" spans="1:58" x14ac:dyDescent="0.25">
      <c r="A87" s="9" t="s">
        <v>88</v>
      </c>
      <c r="B87" s="9" t="s">
        <v>118</v>
      </c>
      <c r="C87" s="9" t="s">
        <v>60</v>
      </c>
      <c r="D87" s="9" t="s">
        <v>61</v>
      </c>
      <c r="E87" s="9" t="s">
        <v>88</v>
      </c>
      <c r="F87" s="9" t="s">
        <v>89</v>
      </c>
      <c r="G87" s="9" t="s">
        <v>88</v>
      </c>
      <c r="H87" s="9" t="s">
        <v>118</v>
      </c>
      <c r="I87" s="9" t="s">
        <v>251</v>
      </c>
      <c r="J87" s="28" t="s">
        <v>252</v>
      </c>
      <c r="K87" s="9">
        <v>14</v>
      </c>
      <c r="L87" s="9">
        <v>14</v>
      </c>
      <c r="M87" s="9">
        <v>295</v>
      </c>
      <c r="N87" s="9">
        <v>351</v>
      </c>
      <c r="O87" s="9">
        <v>181</v>
      </c>
      <c r="P87" s="9">
        <v>827</v>
      </c>
      <c r="Q87" s="26">
        <v>38</v>
      </c>
      <c r="R87" s="26">
        <v>58</v>
      </c>
      <c r="S87">
        <v>1</v>
      </c>
      <c r="T87">
        <v>0</v>
      </c>
      <c r="U87">
        <v>0</v>
      </c>
      <c r="V87">
        <v>1</v>
      </c>
      <c r="W87">
        <v>1</v>
      </c>
      <c r="X87">
        <v>1</v>
      </c>
      <c r="Y87"/>
      <c r="Z87">
        <v>1</v>
      </c>
      <c r="AA87">
        <v>1</v>
      </c>
      <c r="AB87">
        <v>0</v>
      </c>
      <c r="AC87">
        <v>0</v>
      </c>
      <c r="AD87">
        <v>0</v>
      </c>
      <c r="AE87">
        <v>0</v>
      </c>
      <c r="AF87">
        <v>5</v>
      </c>
      <c r="AG87" s="9">
        <v>42</v>
      </c>
      <c r="AH87" s="9">
        <v>22</v>
      </c>
      <c r="AI87" s="9">
        <v>11</v>
      </c>
      <c r="AJ87" s="9">
        <v>11</v>
      </c>
      <c r="AK87" s="9">
        <v>1</v>
      </c>
      <c r="AL87" s="9">
        <v>0</v>
      </c>
      <c r="AM87" s="9">
        <v>10</v>
      </c>
      <c r="AN87" s="9">
        <v>4</v>
      </c>
      <c r="AO87" s="9">
        <v>0</v>
      </c>
      <c r="AP87" s="9">
        <v>7</v>
      </c>
      <c r="AQ87" s="8">
        <v>7</v>
      </c>
      <c r="AR87" s="8">
        <v>11</v>
      </c>
      <c r="AS87" s="8">
        <v>5</v>
      </c>
      <c r="AT87">
        <v>1</v>
      </c>
      <c r="AU87">
        <v>3</v>
      </c>
      <c r="AV87">
        <v>135</v>
      </c>
      <c r="AW87">
        <v>1</v>
      </c>
      <c r="AX87">
        <f t="shared" si="2"/>
        <v>65</v>
      </c>
      <c r="AY87" s="8">
        <v>0</v>
      </c>
      <c r="AZ87" s="8">
        <v>0</v>
      </c>
      <c r="BA87" s="8">
        <v>0</v>
      </c>
      <c r="BB87" s="9">
        <v>0</v>
      </c>
      <c r="BC87" s="27">
        <v>0</v>
      </c>
      <c r="BD87">
        <v>1</v>
      </c>
      <c r="BE87">
        <v>1</v>
      </c>
      <c r="BF87">
        <v>0</v>
      </c>
    </row>
    <row r="88" spans="1:58" x14ac:dyDescent="0.25">
      <c r="A88" s="9" t="s">
        <v>88</v>
      </c>
      <c r="B88" s="9" t="s">
        <v>118</v>
      </c>
      <c r="C88" s="9" t="s">
        <v>60</v>
      </c>
      <c r="D88" s="9" t="s">
        <v>61</v>
      </c>
      <c r="E88" s="9" t="s">
        <v>88</v>
      </c>
      <c r="F88" s="9" t="s">
        <v>89</v>
      </c>
      <c r="G88" s="9" t="s">
        <v>88</v>
      </c>
      <c r="H88" s="9" t="s">
        <v>118</v>
      </c>
      <c r="I88" s="9" t="s">
        <v>119</v>
      </c>
      <c r="J88" s="28" t="s">
        <v>120</v>
      </c>
      <c r="K88" s="9">
        <v>12</v>
      </c>
      <c r="L88" s="9">
        <v>12</v>
      </c>
      <c r="M88" s="9">
        <v>238</v>
      </c>
      <c r="N88" s="9">
        <v>296</v>
      </c>
      <c r="O88" s="9">
        <v>206</v>
      </c>
      <c r="P88" s="9">
        <v>740</v>
      </c>
      <c r="Q88" s="26">
        <v>37</v>
      </c>
      <c r="R88" s="26">
        <v>56</v>
      </c>
      <c r="S88">
        <v>1</v>
      </c>
      <c r="T88">
        <v>0</v>
      </c>
      <c r="U88">
        <v>0</v>
      </c>
      <c r="V88">
        <v>1</v>
      </c>
      <c r="W88">
        <v>1</v>
      </c>
      <c r="X88">
        <v>1</v>
      </c>
      <c r="Y88"/>
      <c r="Z88">
        <v>1</v>
      </c>
      <c r="AA88">
        <v>1</v>
      </c>
      <c r="AB88">
        <v>0</v>
      </c>
      <c r="AC88">
        <v>0</v>
      </c>
      <c r="AD88">
        <v>0</v>
      </c>
      <c r="AE88">
        <v>0</v>
      </c>
      <c r="AF88">
        <v>5</v>
      </c>
      <c r="AG88" s="9">
        <v>33</v>
      </c>
      <c r="AH88" s="9">
        <v>18</v>
      </c>
      <c r="AI88" s="9">
        <v>7</v>
      </c>
      <c r="AJ88" s="9">
        <v>10</v>
      </c>
      <c r="AK88" s="9">
        <v>0</v>
      </c>
      <c r="AL88" s="9">
        <v>0</v>
      </c>
      <c r="AM88" s="9">
        <v>7</v>
      </c>
      <c r="AN88" s="9">
        <v>0</v>
      </c>
      <c r="AO88" s="9">
        <v>0</v>
      </c>
      <c r="AP88" s="9">
        <v>10</v>
      </c>
      <c r="AQ88" s="8">
        <v>10</v>
      </c>
      <c r="AR88" s="8">
        <v>12</v>
      </c>
      <c r="AS88" s="8">
        <v>10</v>
      </c>
      <c r="AT88">
        <v>1</v>
      </c>
      <c r="AU88">
        <v>3</v>
      </c>
      <c r="AV88">
        <v>135</v>
      </c>
      <c r="AW88">
        <v>1</v>
      </c>
      <c r="AX88">
        <f t="shared" si="2"/>
        <v>65</v>
      </c>
      <c r="AY88" s="8">
        <v>0</v>
      </c>
      <c r="AZ88" s="8">
        <v>0</v>
      </c>
      <c r="BA88" s="8">
        <v>1</v>
      </c>
      <c r="BB88" s="9">
        <v>0</v>
      </c>
      <c r="BC88" s="27">
        <v>0</v>
      </c>
      <c r="BD88">
        <v>1</v>
      </c>
      <c r="BE88">
        <v>1</v>
      </c>
      <c r="BF88">
        <v>0</v>
      </c>
    </row>
    <row r="89" spans="1:58" x14ac:dyDescent="0.25">
      <c r="A89" s="9" t="s">
        <v>67</v>
      </c>
      <c r="B89" s="9" t="s">
        <v>176</v>
      </c>
      <c r="C89" s="9" t="s">
        <v>60</v>
      </c>
      <c r="D89" s="9" t="s">
        <v>61</v>
      </c>
      <c r="E89" s="9" t="s">
        <v>67</v>
      </c>
      <c r="F89" s="9" t="s">
        <v>68</v>
      </c>
      <c r="G89" s="9" t="s">
        <v>67</v>
      </c>
      <c r="H89" s="9" t="s">
        <v>176</v>
      </c>
      <c r="I89" s="9" t="s">
        <v>294</v>
      </c>
      <c r="J89" s="28" t="s">
        <v>295</v>
      </c>
      <c r="K89" s="9">
        <v>10</v>
      </c>
      <c r="L89" s="9">
        <v>10</v>
      </c>
      <c r="M89" s="9">
        <v>187</v>
      </c>
      <c r="N89" s="9">
        <v>224</v>
      </c>
      <c r="O89" s="9">
        <v>250</v>
      </c>
      <c r="P89" s="9">
        <v>661</v>
      </c>
      <c r="Q89" s="26">
        <v>35</v>
      </c>
      <c r="R89" s="26">
        <v>53</v>
      </c>
      <c r="S89">
        <v>1</v>
      </c>
      <c r="T89">
        <v>0</v>
      </c>
      <c r="U89">
        <v>0</v>
      </c>
      <c r="V89">
        <v>1</v>
      </c>
      <c r="W89">
        <v>1</v>
      </c>
      <c r="X89">
        <v>1</v>
      </c>
      <c r="Y89"/>
      <c r="Z89">
        <v>1</v>
      </c>
      <c r="AA89">
        <v>1</v>
      </c>
      <c r="AB89">
        <v>0</v>
      </c>
      <c r="AC89">
        <v>0</v>
      </c>
      <c r="AD89">
        <v>0</v>
      </c>
      <c r="AE89">
        <v>0</v>
      </c>
      <c r="AF89">
        <v>5</v>
      </c>
      <c r="AG89" s="9">
        <v>31</v>
      </c>
      <c r="AH89" s="9">
        <v>16</v>
      </c>
      <c r="AI89" s="9">
        <v>12</v>
      </c>
      <c r="AJ89" s="9">
        <v>4</v>
      </c>
      <c r="AK89" s="9">
        <v>3</v>
      </c>
      <c r="AL89" s="9">
        <v>0</v>
      </c>
      <c r="AM89" s="9">
        <v>9</v>
      </c>
      <c r="AN89" s="9">
        <v>1</v>
      </c>
      <c r="AO89" s="9">
        <v>1</v>
      </c>
      <c r="AP89" s="9">
        <v>2</v>
      </c>
      <c r="AQ89" s="8">
        <v>3</v>
      </c>
      <c r="AR89" s="8">
        <v>8</v>
      </c>
      <c r="AS89" s="8">
        <v>2</v>
      </c>
      <c r="AT89">
        <v>1</v>
      </c>
      <c r="AU89">
        <v>3</v>
      </c>
      <c r="AV89">
        <v>135</v>
      </c>
      <c r="AW89">
        <v>2</v>
      </c>
      <c r="AX89">
        <f t="shared" si="2"/>
        <v>130</v>
      </c>
      <c r="AY89" s="8">
        <v>0</v>
      </c>
      <c r="AZ89" s="8">
        <v>0</v>
      </c>
      <c r="BA89" s="8">
        <v>0</v>
      </c>
      <c r="BB89" s="9">
        <v>0</v>
      </c>
      <c r="BC89" s="27">
        <v>0</v>
      </c>
      <c r="BD89">
        <v>1</v>
      </c>
      <c r="BE89">
        <v>1</v>
      </c>
      <c r="BF89">
        <v>0</v>
      </c>
    </row>
    <row r="90" spans="1:58" x14ac:dyDescent="0.25">
      <c r="A90" s="9" t="s">
        <v>67</v>
      </c>
      <c r="B90" s="9" t="s">
        <v>176</v>
      </c>
      <c r="C90" s="9" t="s">
        <v>60</v>
      </c>
      <c r="D90" s="9" t="s">
        <v>61</v>
      </c>
      <c r="E90" s="9" t="s">
        <v>67</v>
      </c>
      <c r="F90" s="9" t="s">
        <v>68</v>
      </c>
      <c r="G90" s="9" t="s">
        <v>67</v>
      </c>
      <c r="H90" s="9" t="s">
        <v>176</v>
      </c>
      <c r="I90" s="9" t="s">
        <v>424</v>
      </c>
      <c r="J90" s="28" t="s">
        <v>425</v>
      </c>
      <c r="K90" s="9">
        <v>8</v>
      </c>
      <c r="L90" s="9">
        <v>8</v>
      </c>
      <c r="M90" s="9">
        <v>251</v>
      </c>
      <c r="N90" s="9">
        <v>255</v>
      </c>
      <c r="O90" s="9">
        <v>182</v>
      </c>
      <c r="P90" s="9">
        <v>688</v>
      </c>
      <c r="Q90" s="26">
        <v>32</v>
      </c>
      <c r="R90" s="26">
        <v>48</v>
      </c>
      <c r="S90">
        <v>1</v>
      </c>
      <c r="T90">
        <v>0</v>
      </c>
      <c r="U90">
        <v>0</v>
      </c>
      <c r="V90">
        <v>1</v>
      </c>
      <c r="W90">
        <v>1</v>
      </c>
      <c r="X90">
        <v>1</v>
      </c>
      <c r="Y90"/>
      <c r="Z90">
        <v>1</v>
      </c>
      <c r="AA90">
        <v>1</v>
      </c>
      <c r="AB90">
        <v>0</v>
      </c>
      <c r="AC90">
        <v>0</v>
      </c>
      <c r="AD90">
        <v>0</v>
      </c>
      <c r="AE90">
        <v>0</v>
      </c>
      <c r="AF90">
        <v>5</v>
      </c>
      <c r="AG90" s="9">
        <v>29</v>
      </c>
      <c r="AH90" s="9">
        <v>15</v>
      </c>
      <c r="AI90" s="9">
        <v>10</v>
      </c>
      <c r="AJ90" s="9">
        <v>5</v>
      </c>
      <c r="AK90" s="9">
        <v>1</v>
      </c>
      <c r="AL90" s="9">
        <v>0</v>
      </c>
      <c r="AM90" s="9">
        <v>9</v>
      </c>
      <c r="AN90" s="9">
        <v>0</v>
      </c>
      <c r="AO90" s="9">
        <v>0</v>
      </c>
      <c r="AP90" s="9">
        <v>5</v>
      </c>
      <c r="AQ90" s="8">
        <v>5</v>
      </c>
      <c r="AR90" s="8">
        <v>10</v>
      </c>
      <c r="AS90" s="8">
        <v>5</v>
      </c>
      <c r="AT90">
        <v>1</v>
      </c>
      <c r="AU90">
        <v>4</v>
      </c>
      <c r="AV90">
        <v>180</v>
      </c>
      <c r="AW90">
        <v>1</v>
      </c>
      <c r="AX90">
        <f t="shared" si="2"/>
        <v>65</v>
      </c>
      <c r="AY90" s="8">
        <v>2</v>
      </c>
      <c r="AZ90" s="8">
        <v>0</v>
      </c>
      <c r="BA90" s="8">
        <v>0</v>
      </c>
      <c r="BB90" s="9">
        <v>0</v>
      </c>
      <c r="BC90" s="27">
        <v>0</v>
      </c>
      <c r="BD90">
        <v>1</v>
      </c>
      <c r="BE90">
        <v>1</v>
      </c>
      <c r="BF90">
        <v>0</v>
      </c>
    </row>
    <row r="91" spans="1:58" x14ac:dyDescent="0.25">
      <c r="A91" s="9" t="s">
        <v>67</v>
      </c>
      <c r="B91" s="9" t="s">
        <v>176</v>
      </c>
      <c r="C91" s="9" t="s">
        <v>60</v>
      </c>
      <c r="D91" s="9" t="s">
        <v>61</v>
      </c>
      <c r="E91" s="9" t="s">
        <v>67</v>
      </c>
      <c r="F91" s="9" t="s">
        <v>68</v>
      </c>
      <c r="G91" s="9" t="s">
        <v>67</v>
      </c>
      <c r="H91" s="9" t="s">
        <v>176</v>
      </c>
      <c r="I91" s="9" t="s">
        <v>223</v>
      </c>
      <c r="J91" s="28" t="s">
        <v>224</v>
      </c>
      <c r="K91" s="9">
        <v>11</v>
      </c>
      <c r="L91" s="9">
        <v>11</v>
      </c>
      <c r="M91" s="9">
        <v>240</v>
      </c>
      <c r="N91" s="9">
        <v>229</v>
      </c>
      <c r="O91" s="9">
        <v>200</v>
      </c>
      <c r="P91" s="9">
        <v>669</v>
      </c>
      <c r="Q91" s="26">
        <v>32</v>
      </c>
      <c r="R91" s="26">
        <v>48</v>
      </c>
      <c r="S91">
        <v>1</v>
      </c>
      <c r="T91">
        <v>0</v>
      </c>
      <c r="U91">
        <v>0</v>
      </c>
      <c r="V91">
        <v>1</v>
      </c>
      <c r="W91">
        <v>1</v>
      </c>
      <c r="X91">
        <v>1</v>
      </c>
      <c r="Y91"/>
      <c r="Z91">
        <v>1</v>
      </c>
      <c r="AA91">
        <v>1</v>
      </c>
      <c r="AB91">
        <v>0</v>
      </c>
      <c r="AC91">
        <v>0</v>
      </c>
      <c r="AD91">
        <v>0</v>
      </c>
      <c r="AE91">
        <v>0</v>
      </c>
      <c r="AF91">
        <v>5</v>
      </c>
      <c r="AG91" s="9">
        <v>46</v>
      </c>
      <c r="AH91" s="9">
        <v>17</v>
      </c>
      <c r="AI91" s="9">
        <v>10</v>
      </c>
      <c r="AJ91" s="9">
        <v>7</v>
      </c>
      <c r="AK91" s="9">
        <v>2</v>
      </c>
      <c r="AL91" s="9">
        <v>0</v>
      </c>
      <c r="AM91" s="9">
        <v>8</v>
      </c>
      <c r="AN91" s="9">
        <v>1</v>
      </c>
      <c r="AO91" s="9">
        <v>0</v>
      </c>
      <c r="AP91" s="9">
        <v>6</v>
      </c>
      <c r="AQ91" s="8">
        <v>6</v>
      </c>
      <c r="AR91" s="8">
        <v>12</v>
      </c>
      <c r="AS91" s="8">
        <v>5</v>
      </c>
      <c r="AT91">
        <v>1</v>
      </c>
      <c r="AU91">
        <v>4</v>
      </c>
      <c r="AV91">
        <v>180</v>
      </c>
      <c r="AW91">
        <v>1</v>
      </c>
      <c r="AX91">
        <f t="shared" si="2"/>
        <v>65</v>
      </c>
      <c r="AY91" s="8">
        <v>1</v>
      </c>
      <c r="AZ91" s="8">
        <v>0</v>
      </c>
      <c r="BA91" s="8">
        <v>1</v>
      </c>
      <c r="BB91" s="9">
        <v>0</v>
      </c>
      <c r="BC91" s="27">
        <v>0</v>
      </c>
      <c r="BD91">
        <v>1</v>
      </c>
      <c r="BE91">
        <v>1</v>
      </c>
      <c r="BF91">
        <v>0</v>
      </c>
    </row>
    <row r="92" spans="1:58" x14ac:dyDescent="0.25">
      <c r="A92" s="9" t="s">
        <v>67</v>
      </c>
      <c r="B92" s="9" t="s">
        <v>176</v>
      </c>
      <c r="C92" s="9" t="s">
        <v>60</v>
      </c>
      <c r="D92" s="9" t="s">
        <v>61</v>
      </c>
      <c r="E92" s="9" t="s">
        <v>67</v>
      </c>
      <c r="F92" s="9" t="s">
        <v>68</v>
      </c>
      <c r="G92" s="9" t="s">
        <v>67</v>
      </c>
      <c r="H92" s="9" t="s">
        <v>176</v>
      </c>
      <c r="I92" s="9" t="s">
        <v>404</v>
      </c>
      <c r="J92" s="28" t="s">
        <v>405</v>
      </c>
      <c r="K92" s="9">
        <v>7</v>
      </c>
      <c r="L92" s="9">
        <v>7</v>
      </c>
      <c r="M92" s="9">
        <v>224</v>
      </c>
      <c r="N92" s="9">
        <v>276</v>
      </c>
      <c r="O92" s="9">
        <v>197</v>
      </c>
      <c r="P92" s="9">
        <v>697</v>
      </c>
      <c r="Q92" s="26">
        <v>35</v>
      </c>
      <c r="R92" s="26">
        <v>53</v>
      </c>
      <c r="S92">
        <v>1</v>
      </c>
      <c r="T92">
        <v>0</v>
      </c>
      <c r="U92">
        <v>0</v>
      </c>
      <c r="V92">
        <v>1</v>
      </c>
      <c r="W92">
        <v>1</v>
      </c>
      <c r="X92">
        <v>1</v>
      </c>
      <c r="Y92"/>
      <c r="Z92">
        <v>1</v>
      </c>
      <c r="AA92">
        <v>1</v>
      </c>
      <c r="AB92">
        <v>0</v>
      </c>
      <c r="AC92">
        <v>0</v>
      </c>
      <c r="AD92">
        <v>0</v>
      </c>
      <c r="AE92">
        <v>0</v>
      </c>
      <c r="AF92">
        <v>5</v>
      </c>
      <c r="AG92" s="9">
        <v>31</v>
      </c>
      <c r="AH92" s="9">
        <v>15</v>
      </c>
      <c r="AI92" s="9">
        <v>8</v>
      </c>
      <c r="AJ92" s="9">
        <v>6</v>
      </c>
      <c r="AK92" s="9">
        <v>1</v>
      </c>
      <c r="AL92" s="9">
        <v>0</v>
      </c>
      <c r="AM92" s="9">
        <v>7</v>
      </c>
      <c r="AN92" s="9">
        <v>1</v>
      </c>
      <c r="AO92" s="9">
        <v>0</v>
      </c>
      <c r="AP92" s="9">
        <v>5</v>
      </c>
      <c r="AQ92" s="8">
        <v>5</v>
      </c>
      <c r="AR92" s="8">
        <v>7</v>
      </c>
      <c r="AS92" s="8">
        <v>5</v>
      </c>
      <c r="AT92">
        <v>1</v>
      </c>
      <c r="AU92">
        <v>3</v>
      </c>
      <c r="AV92">
        <v>135</v>
      </c>
      <c r="AW92">
        <v>2</v>
      </c>
      <c r="AX92">
        <f t="shared" si="2"/>
        <v>130</v>
      </c>
      <c r="AY92" s="8">
        <v>0</v>
      </c>
      <c r="AZ92" s="8">
        <v>0</v>
      </c>
      <c r="BA92" s="8">
        <v>1</v>
      </c>
      <c r="BB92" s="9">
        <v>1</v>
      </c>
      <c r="BC92" s="27">
        <v>0</v>
      </c>
      <c r="BD92">
        <v>1</v>
      </c>
      <c r="BE92">
        <v>1</v>
      </c>
      <c r="BF92">
        <v>0</v>
      </c>
    </row>
    <row r="93" spans="1:58" x14ac:dyDescent="0.25">
      <c r="A93" s="9" t="s">
        <v>67</v>
      </c>
      <c r="B93" s="9" t="s">
        <v>176</v>
      </c>
      <c r="C93" s="9" t="s">
        <v>60</v>
      </c>
      <c r="D93" s="9" t="s">
        <v>61</v>
      </c>
      <c r="E93" s="9" t="s">
        <v>67</v>
      </c>
      <c r="F93" s="9" t="s">
        <v>68</v>
      </c>
      <c r="G93" s="9" t="s">
        <v>67</v>
      </c>
      <c r="H93" s="9" t="s">
        <v>176</v>
      </c>
      <c r="I93" s="9" t="s">
        <v>177</v>
      </c>
      <c r="J93" s="28" t="s">
        <v>178</v>
      </c>
      <c r="K93" s="9">
        <v>9</v>
      </c>
      <c r="L93" s="9">
        <v>9</v>
      </c>
      <c r="M93" s="9">
        <v>208</v>
      </c>
      <c r="N93" s="9">
        <v>246</v>
      </c>
      <c r="O93" s="9">
        <v>246</v>
      </c>
      <c r="P93" s="9">
        <v>700</v>
      </c>
      <c r="Q93" s="26">
        <v>36</v>
      </c>
      <c r="R93" s="26">
        <v>54</v>
      </c>
      <c r="S93">
        <v>1</v>
      </c>
      <c r="T93">
        <v>0</v>
      </c>
      <c r="U93">
        <v>0</v>
      </c>
      <c r="V93">
        <v>1</v>
      </c>
      <c r="W93">
        <v>1</v>
      </c>
      <c r="X93">
        <v>1</v>
      </c>
      <c r="Y93"/>
      <c r="Z93">
        <v>1</v>
      </c>
      <c r="AA93">
        <v>1</v>
      </c>
      <c r="AB93">
        <v>0</v>
      </c>
      <c r="AC93">
        <v>0</v>
      </c>
      <c r="AD93">
        <v>0</v>
      </c>
      <c r="AE93">
        <v>0</v>
      </c>
      <c r="AF93">
        <v>5</v>
      </c>
      <c r="AG93" s="9">
        <v>26</v>
      </c>
      <c r="AH93" s="9">
        <v>14</v>
      </c>
      <c r="AI93" s="9">
        <v>8</v>
      </c>
      <c r="AJ93" s="9">
        <v>6</v>
      </c>
      <c r="AK93" s="9">
        <v>1</v>
      </c>
      <c r="AL93" s="9">
        <v>0</v>
      </c>
      <c r="AM93" s="9">
        <v>7</v>
      </c>
      <c r="AN93" s="9">
        <v>1</v>
      </c>
      <c r="AO93" s="9">
        <v>1</v>
      </c>
      <c r="AP93" s="9">
        <v>4</v>
      </c>
      <c r="AQ93" s="8">
        <v>5</v>
      </c>
      <c r="AR93" s="8">
        <v>11</v>
      </c>
      <c r="AS93" s="8">
        <v>2</v>
      </c>
      <c r="AT93">
        <v>1</v>
      </c>
      <c r="AU93">
        <v>3</v>
      </c>
      <c r="AV93">
        <v>135</v>
      </c>
      <c r="AW93">
        <v>1</v>
      </c>
      <c r="AX93">
        <f t="shared" si="2"/>
        <v>65</v>
      </c>
      <c r="AY93" s="8">
        <v>0</v>
      </c>
      <c r="AZ93" s="8">
        <v>0</v>
      </c>
      <c r="BA93" s="8">
        <v>1</v>
      </c>
      <c r="BB93" s="9">
        <v>0</v>
      </c>
      <c r="BC93" s="27">
        <v>0</v>
      </c>
      <c r="BD93">
        <v>1</v>
      </c>
      <c r="BE93">
        <v>1</v>
      </c>
      <c r="BF93">
        <v>0</v>
      </c>
    </row>
    <row r="94" spans="1:58" x14ac:dyDescent="0.25">
      <c r="A94" s="9" t="s">
        <v>122</v>
      </c>
      <c r="B94" s="9" t="s">
        <v>123</v>
      </c>
      <c r="C94" s="9" t="s">
        <v>60</v>
      </c>
      <c r="D94" s="9" t="s">
        <v>61</v>
      </c>
      <c r="E94" s="9" t="s">
        <v>94</v>
      </c>
      <c r="F94" s="9" t="s">
        <v>95</v>
      </c>
      <c r="G94" s="9" t="s">
        <v>122</v>
      </c>
      <c r="H94" s="9" t="s">
        <v>123</v>
      </c>
      <c r="I94" s="9" t="s">
        <v>394</v>
      </c>
      <c r="J94" s="28" t="s">
        <v>395</v>
      </c>
      <c r="K94" s="9">
        <v>13</v>
      </c>
      <c r="L94" s="9">
        <v>13</v>
      </c>
      <c r="M94" s="9">
        <v>230</v>
      </c>
      <c r="N94" s="9">
        <v>262</v>
      </c>
      <c r="O94" s="9">
        <v>167</v>
      </c>
      <c r="P94" s="9">
        <v>659</v>
      </c>
      <c r="Q94" s="26">
        <v>32</v>
      </c>
      <c r="R94" s="26">
        <v>48</v>
      </c>
      <c r="S94">
        <v>1</v>
      </c>
      <c r="T94">
        <v>0</v>
      </c>
      <c r="U94">
        <v>0</v>
      </c>
      <c r="V94">
        <v>1</v>
      </c>
      <c r="W94">
        <v>1</v>
      </c>
      <c r="X94">
        <v>1</v>
      </c>
      <c r="Y94"/>
      <c r="Z94">
        <v>1</v>
      </c>
      <c r="AA94">
        <v>1</v>
      </c>
      <c r="AB94">
        <v>0</v>
      </c>
      <c r="AC94">
        <v>0</v>
      </c>
      <c r="AD94">
        <v>0</v>
      </c>
      <c r="AE94">
        <v>0</v>
      </c>
      <c r="AF94">
        <v>5</v>
      </c>
      <c r="AG94" s="9">
        <v>51</v>
      </c>
      <c r="AH94" s="9">
        <v>23</v>
      </c>
      <c r="AI94" s="9">
        <v>12</v>
      </c>
      <c r="AJ94" s="9">
        <v>11</v>
      </c>
      <c r="AK94" s="9">
        <v>1</v>
      </c>
      <c r="AL94" s="9">
        <v>0</v>
      </c>
      <c r="AM94" s="9">
        <v>11</v>
      </c>
      <c r="AN94" s="9">
        <v>2</v>
      </c>
      <c r="AO94" s="9">
        <v>0</v>
      </c>
      <c r="AP94" s="9">
        <v>9</v>
      </c>
      <c r="AQ94" s="8">
        <v>9</v>
      </c>
      <c r="AR94" s="8">
        <v>12</v>
      </c>
      <c r="AS94" s="8">
        <v>8</v>
      </c>
      <c r="AT94">
        <v>1</v>
      </c>
      <c r="AU94">
        <v>3</v>
      </c>
      <c r="AV94">
        <v>135</v>
      </c>
      <c r="AW94">
        <v>1</v>
      </c>
      <c r="AX94">
        <f t="shared" si="2"/>
        <v>65</v>
      </c>
      <c r="AY94" s="8">
        <v>0</v>
      </c>
      <c r="AZ94" s="8">
        <v>1</v>
      </c>
      <c r="BA94" s="8">
        <v>0</v>
      </c>
      <c r="BB94" s="9">
        <v>1</v>
      </c>
      <c r="BC94" s="27">
        <v>0</v>
      </c>
      <c r="BD94">
        <v>1</v>
      </c>
      <c r="BE94">
        <v>1</v>
      </c>
      <c r="BF94">
        <v>0</v>
      </c>
    </row>
    <row r="95" spans="1:58" x14ac:dyDescent="0.25">
      <c r="A95" s="9" t="s">
        <v>122</v>
      </c>
      <c r="B95" s="9" t="s">
        <v>123</v>
      </c>
      <c r="C95" s="9" t="s">
        <v>60</v>
      </c>
      <c r="D95" s="9" t="s">
        <v>61</v>
      </c>
      <c r="E95" s="9" t="s">
        <v>94</v>
      </c>
      <c r="F95" s="9" t="s">
        <v>95</v>
      </c>
      <c r="G95" s="9" t="s">
        <v>122</v>
      </c>
      <c r="H95" s="9" t="s">
        <v>123</v>
      </c>
      <c r="I95" s="9" t="s">
        <v>282</v>
      </c>
      <c r="J95" s="28" t="s">
        <v>283</v>
      </c>
      <c r="K95" s="9">
        <v>9</v>
      </c>
      <c r="L95" s="9">
        <v>9</v>
      </c>
      <c r="M95" s="9">
        <v>226</v>
      </c>
      <c r="N95" s="9">
        <v>237</v>
      </c>
      <c r="O95" s="9">
        <v>166</v>
      </c>
      <c r="P95" s="9">
        <v>629</v>
      </c>
      <c r="Q95" s="26">
        <v>32</v>
      </c>
      <c r="R95" s="26">
        <v>48</v>
      </c>
      <c r="S95">
        <v>1</v>
      </c>
      <c r="T95">
        <v>0</v>
      </c>
      <c r="U95">
        <v>0</v>
      </c>
      <c r="V95">
        <v>1</v>
      </c>
      <c r="W95">
        <v>1</v>
      </c>
      <c r="X95">
        <v>1</v>
      </c>
      <c r="Y95"/>
      <c r="Z95">
        <v>1</v>
      </c>
      <c r="AA95">
        <v>1</v>
      </c>
      <c r="AB95">
        <v>0</v>
      </c>
      <c r="AC95">
        <v>0</v>
      </c>
      <c r="AD95">
        <v>0</v>
      </c>
      <c r="AE95">
        <v>0</v>
      </c>
      <c r="AF95">
        <v>5</v>
      </c>
      <c r="AG95" s="9">
        <v>42</v>
      </c>
      <c r="AH95" s="9">
        <v>17</v>
      </c>
      <c r="AI95" s="9">
        <v>11</v>
      </c>
      <c r="AJ95" s="9">
        <v>6</v>
      </c>
      <c r="AK95" s="9">
        <v>4</v>
      </c>
      <c r="AL95" s="9">
        <v>0</v>
      </c>
      <c r="AM95" s="9">
        <v>7</v>
      </c>
      <c r="AN95" s="9">
        <v>1</v>
      </c>
      <c r="AO95" s="9">
        <v>1</v>
      </c>
      <c r="AP95" s="9">
        <v>4</v>
      </c>
      <c r="AQ95" s="8">
        <v>5</v>
      </c>
      <c r="AR95" s="8">
        <v>8</v>
      </c>
      <c r="AS95" s="8">
        <v>5</v>
      </c>
      <c r="AT95">
        <v>1</v>
      </c>
      <c r="AU95">
        <v>4</v>
      </c>
      <c r="AV95">
        <v>180</v>
      </c>
      <c r="AW95">
        <v>1</v>
      </c>
      <c r="AX95">
        <f t="shared" si="2"/>
        <v>65</v>
      </c>
      <c r="AY95" s="8">
        <v>2</v>
      </c>
      <c r="AZ95" s="8">
        <v>0</v>
      </c>
      <c r="BA95" s="8">
        <v>0</v>
      </c>
      <c r="BB95" s="9">
        <v>0</v>
      </c>
      <c r="BC95" s="27">
        <v>0</v>
      </c>
      <c r="BD95">
        <v>1</v>
      </c>
      <c r="BE95">
        <v>1</v>
      </c>
      <c r="BF95">
        <v>0</v>
      </c>
    </row>
    <row r="96" spans="1:58" x14ac:dyDescent="0.25">
      <c r="A96" s="9" t="s">
        <v>253</v>
      </c>
      <c r="B96" s="9" t="s">
        <v>254</v>
      </c>
      <c r="C96" s="9" t="s">
        <v>60</v>
      </c>
      <c r="D96" s="9" t="s">
        <v>61</v>
      </c>
      <c r="E96" s="9" t="s">
        <v>172</v>
      </c>
      <c r="F96" s="9" t="s">
        <v>173</v>
      </c>
      <c r="G96" s="9" t="s">
        <v>253</v>
      </c>
      <c r="H96" s="9" t="s">
        <v>254</v>
      </c>
      <c r="I96" s="9" t="s">
        <v>378</v>
      </c>
      <c r="J96" s="28" t="s">
        <v>379</v>
      </c>
      <c r="K96" s="9">
        <v>14</v>
      </c>
      <c r="L96" s="9">
        <v>14</v>
      </c>
      <c r="M96" s="9">
        <v>167</v>
      </c>
      <c r="N96" s="9">
        <v>253</v>
      </c>
      <c r="O96" s="9">
        <v>145</v>
      </c>
      <c r="P96" s="9">
        <v>565</v>
      </c>
      <c r="Q96" s="26">
        <v>32</v>
      </c>
      <c r="R96" s="26">
        <v>48</v>
      </c>
      <c r="S96">
        <v>1</v>
      </c>
      <c r="T96">
        <v>0</v>
      </c>
      <c r="U96">
        <v>0</v>
      </c>
      <c r="V96">
        <v>1</v>
      </c>
      <c r="W96">
        <v>1</v>
      </c>
      <c r="X96">
        <v>1</v>
      </c>
      <c r="Y96"/>
      <c r="Z96">
        <v>1</v>
      </c>
      <c r="AA96">
        <v>1</v>
      </c>
      <c r="AB96">
        <v>0</v>
      </c>
      <c r="AC96">
        <v>0</v>
      </c>
      <c r="AD96">
        <v>0</v>
      </c>
      <c r="AE96">
        <v>0</v>
      </c>
      <c r="AF96">
        <v>5</v>
      </c>
      <c r="AG96" s="9">
        <v>59</v>
      </c>
      <c r="AH96" s="9">
        <v>24</v>
      </c>
      <c r="AI96" s="9">
        <v>14</v>
      </c>
      <c r="AJ96" s="9">
        <v>10</v>
      </c>
      <c r="AK96" s="9">
        <v>6</v>
      </c>
      <c r="AL96" s="9">
        <v>0</v>
      </c>
      <c r="AM96" s="9">
        <v>8</v>
      </c>
      <c r="AN96" s="9">
        <v>6</v>
      </c>
      <c r="AO96" s="9">
        <v>0</v>
      </c>
      <c r="AP96" s="9">
        <v>4</v>
      </c>
      <c r="AQ96" s="8">
        <v>4</v>
      </c>
      <c r="AR96" s="8">
        <v>7</v>
      </c>
      <c r="AS96" s="8">
        <v>2</v>
      </c>
      <c r="AT96">
        <v>1</v>
      </c>
      <c r="AU96">
        <v>4</v>
      </c>
      <c r="AV96">
        <v>180</v>
      </c>
      <c r="AW96">
        <v>1</v>
      </c>
      <c r="AX96">
        <f t="shared" si="2"/>
        <v>65</v>
      </c>
      <c r="AY96" s="8">
        <v>1</v>
      </c>
      <c r="AZ96" s="8">
        <v>1</v>
      </c>
      <c r="BA96" s="8">
        <v>0</v>
      </c>
      <c r="BB96" s="9">
        <v>0</v>
      </c>
      <c r="BC96" s="27">
        <v>0</v>
      </c>
      <c r="BD96">
        <v>1</v>
      </c>
      <c r="BE96">
        <v>1</v>
      </c>
      <c r="BF96">
        <v>0</v>
      </c>
    </row>
    <row r="97" spans="1:58" x14ac:dyDescent="0.25">
      <c r="A97" s="9" t="s">
        <v>253</v>
      </c>
      <c r="B97" s="9" t="s">
        <v>254</v>
      </c>
      <c r="C97" s="9" t="s">
        <v>60</v>
      </c>
      <c r="D97" s="9" t="s">
        <v>61</v>
      </c>
      <c r="E97" s="9" t="s">
        <v>172</v>
      </c>
      <c r="F97" s="9" t="s">
        <v>173</v>
      </c>
      <c r="G97" s="9" t="s">
        <v>253</v>
      </c>
      <c r="H97" s="9" t="s">
        <v>254</v>
      </c>
      <c r="I97" s="9" t="s">
        <v>376</v>
      </c>
      <c r="J97" s="28" t="s">
        <v>377</v>
      </c>
      <c r="K97" s="9">
        <v>13</v>
      </c>
      <c r="L97" s="9">
        <v>13</v>
      </c>
      <c r="M97" s="9">
        <v>199</v>
      </c>
      <c r="N97" s="9">
        <v>201</v>
      </c>
      <c r="O97" s="9">
        <v>224</v>
      </c>
      <c r="P97" s="9">
        <v>624</v>
      </c>
      <c r="Q97" s="26">
        <v>32</v>
      </c>
      <c r="R97" s="26">
        <v>48</v>
      </c>
      <c r="S97">
        <v>1</v>
      </c>
      <c r="T97">
        <v>0</v>
      </c>
      <c r="U97">
        <v>0</v>
      </c>
      <c r="V97">
        <v>1</v>
      </c>
      <c r="W97">
        <v>1</v>
      </c>
      <c r="X97">
        <v>1</v>
      </c>
      <c r="Y97"/>
      <c r="Z97">
        <v>1</v>
      </c>
      <c r="AA97">
        <v>1</v>
      </c>
      <c r="AB97">
        <v>0</v>
      </c>
      <c r="AC97">
        <v>0</v>
      </c>
      <c r="AD97">
        <v>0</v>
      </c>
      <c r="AE97">
        <v>0</v>
      </c>
      <c r="AF97">
        <v>5</v>
      </c>
      <c r="AG97" s="9">
        <v>64</v>
      </c>
      <c r="AH97" s="9">
        <v>24</v>
      </c>
      <c r="AI97" s="9">
        <v>14</v>
      </c>
      <c r="AJ97" s="9">
        <v>10</v>
      </c>
      <c r="AK97" s="9">
        <v>3</v>
      </c>
      <c r="AL97" s="9">
        <v>0</v>
      </c>
      <c r="AM97" s="9">
        <v>11</v>
      </c>
      <c r="AN97" s="9">
        <v>4</v>
      </c>
      <c r="AO97" s="9">
        <v>0</v>
      </c>
      <c r="AP97" s="9">
        <v>6</v>
      </c>
      <c r="AQ97" s="8">
        <v>6</v>
      </c>
      <c r="AR97" s="8">
        <v>11</v>
      </c>
      <c r="AS97" s="8">
        <v>4</v>
      </c>
      <c r="AT97">
        <v>1</v>
      </c>
      <c r="AU97">
        <v>3</v>
      </c>
      <c r="AV97">
        <v>135</v>
      </c>
      <c r="AW97">
        <v>2</v>
      </c>
      <c r="AX97">
        <f t="shared" si="2"/>
        <v>130</v>
      </c>
      <c r="AY97" s="8">
        <v>1</v>
      </c>
      <c r="AZ97" s="8">
        <v>0</v>
      </c>
      <c r="BA97" s="8">
        <v>1</v>
      </c>
      <c r="BB97" s="9">
        <v>0</v>
      </c>
      <c r="BC97" s="27">
        <v>0</v>
      </c>
      <c r="BD97">
        <v>1</v>
      </c>
      <c r="BE97">
        <v>1</v>
      </c>
      <c r="BF97">
        <v>0</v>
      </c>
    </row>
    <row r="98" spans="1:58" x14ac:dyDescent="0.25">
      <c r="A98" s="9" t="s">
        <v>253</v>
      </c>
      <c r="B98" s="9" t="s">
        <v>254</v>
      </c>
      <c r="C98" s="9" t="s">
        <v>60</v>
      </c>
      <c r="D98" s="9" t="s">
        <v>61</v>
      </c>
      <c r="E98" s="9" t="s">
        <v>172</v>
      </c>
      <c r="F98" s="9" t="s">
        <v>173</v>
      </c>
      <c r="G98" s="9" t="s">
        <v>170</v>
      </c>
      <c r="H98" s="9" t="s">
        <v>171</v>
      </c>
      <c r="I98" s="9" t="s">
        <v>255</v>
      </c>
      <c r="J98" s="28" t="s">
        <v>256</v>
      </c>
      <c r="K98" s="9">
        <v>9</v>
      </c>
      <c r="L98" s="9">
        <v>9</v>
      </c>
      <c r="M98" s="9">
        <v>198</v>
      </c>
      <c r="N98" s="9">
        <v>200</v>
      </c>
      <c r="O98" s="9">
        <v>213</v>
      </c>
      <c r="P98" s="9">
        <v>611</v>
      </c>
      <c r="Q98" s="26">
        <v>32</v>
      </c>
      <c r="R98" s="26">
        <v>48</v>
      </c>
      <c r="S98">
        <v>1</v>
      </c>
      <c r="T98">
        <v>0</v>
      </c>
      <c r="U98">
        <v>0</v>
      </c>
      <c r="V98">
        <v>1</v>
      </c>
      <c r="W98">
        <v>1</v>
      </c>
      <c r="X98">
        <v>1</v>
      </c>
      <c r="Y98"/>
      <c r="Z98">
        <v>1</v>
      </c>
      <c r="AA98">
        <v>1</v>
      </c>
      <c r="AB98">
        <v>0</v>
      </c>
      <c r="AC98">
        <v>0</v>
      </c>
      <c r="AD98">
        <v>0</v>
      </c>
      <c r="AE98">
        <v>0</v>
      </c>
      <c r="AF98">
        <v>5</v>
      </c>
      <c r="AG98" s="9">
        <v>27</v>
      </c>
      <c r="AH98" s="9">
        <v>16</v>
      </c>
      <c r="AI98" s="9">
        <v>9</v>
      </c>
      <c r="AJ98" s="9">
        <v>7</v>
      </c>
      <c r="AK98" s="9">
        <v>1</v>
      </c>
      <c r="AL98" s="9">
        <v>0</v>
      </c>
      <c r="AM98" s="9">
        <v>8</v>
      </c>
      <c r="AN98" s="9">
        <v>0</v>
      </c>
      <c r="AO98" s="9">
        <v>0</v>
      </c>
      <c r="AP98" s="9">
        <v>7</v>
      </c>
      <c r="AQ98" s="8">
        <v>7</v>
      </c>
      <c r="AR98" s="8">
        <v>11</v>
      </c>
      <c r="AS98" s="8">
        <v>3</v>
      </c>
      <c r="AT98">
        <v>1</v>
      </c>
      <c r="AU98">
        <v>4</v>
      </c>
      <c r="AV98">
        <v>180</v>
      </c>
      <c r="AW98">
        <v>1</v>
      </c>
      <c r="AX98">
        <f t="shared" si="2"/>
        <v>65</v>
      </c>
      <c r="AY98" s="8">
        <v>0</v>
      </c>
      <c r="AZ98" s="8">
        <v>0</v>
      </c>
      <c r="BA98" s="8">
        <v>1</v>
      </c>
      <c r="BB98" s="9">
        <v>0</v>
      </c>
      <c r="BC98" s="27">
        <v>0</v>
      </c>
      <c r="BD98">
        <v>1</v>
      </c>
      <c r="BE98">
        <v>1</v>
      </c>
      <c r="BF98">
        <v>0</v>
      </c>
    </row>
    <row r="99" spans="1:58" x14ac:dyDescent="0.25">
      <c r="A99" s="9" t="s">
        <v>114</v>
      </c>
      <c r="B99" s="9" t="s">
        <v>130</v>
      </c>
      <c r="C99" s="9" t="s">
        <v>60</v>
      </c>
      <c r="D99" s="9" t="s">
        <v>61</v>
      </c>
      <c r="E99" s="9" t="s">
        <v>114</v>
      </c>
      <c r="F99" s="9" t="s">
        <v>115</v>
      </c>
      <c r="G99" s="9" t="s">
        <v>114</v>
      </c>
      <c r="H99" s="9" t="s">
        <v>130</v>
      </c>
      <c r="I99" s="9" t="s">
        <v>131</v>
      </c>
      <c r="J99" s="28" t="s">
        <v>132</v>
      </c>
      <c r="K99" s="9">
        <v>11</v>
      </c>
      <c r="L99" s="9">
        <v>11</v>
      </c>
      <c r="M99" s="9">
        <v>206</v>
      </c>
      <c r="N99" s="9">
        <v>233</v>
      </c>
      <c r="O99" s="9">
        <v>200</v>
      </c>
      <c r="P99" s="9">
        <v>639</v>
      </c>
      <c r="Q99" s="26">
        <v>32</v>
      </c>
      <c r="R99" s="26">
        <v>48</v>
      </c>
      <c r="S99">
        <v>1</v>
      </c>
      <c r="T99">
        <v>0</v>
      </c>
      <c r="U99">
        <v>0</v>
      </c>
      <c r="V99">
        <v>1</v>
      </c>
      <c r="W99">
        <v>1</v>
      </c>
      <c r="X99">
        <v>1</v>
      </c>
      <c r="Y99"/>
      <c r="Z99">
        <v>1</v>
      </c>
      <c r="AA99">
        <v>1</v>
      </c>
      <c r="AB99">
        <v>0</v>
      </c>
      <c r="AC99">
        <v>0</v>
      </c>
      <c r="AD99">
        <v>0</v>
      </c>
      <c r="AE99">
        <v>0</v>
      </c>
      <c r="AF99">
        <v>5</v>
      </c>
      <c r="AG99" s="9">
        <v>44</v>
      </c>
      <c r="AH99" s="9">
        <v>20</v>
      </c>
      <c r="AI99" s="9">
        <v>12</v>
      </c>
      <c r="AJ99" s="9">
        <v>8</v>
      </c>
      <c r="AK99" s="9">
        <v>1</v>
      </c>
      <c r="AL99" s="9">
        <v>0</v>
      </c>
      <c r="AM99" s="9">
        <v>11</v>
      </c>
      <c r="AN99" s="9">
        <v>2</v>
      </c>
      <c r="AO99" s="9">
        <v>1</v>
      </c>
      <c r="AP99" s="9">
        <v>5</v>
      </c>
      <c r="AQ99" s="8">
        <v>4</v>
      </c>
      <c r="AR99" s="8">
        <v>9</v>
      </c>
      <c r="AS99" s="8">
        <v>4</v>
      </c>
      <c r="AT99">
        <v>1</v>
      </c>
      <c r="AU99">
        <v>3</v>
      </c>
      <c r="AV99">
        <v>135</v>
      </c>
      <c r="AW99">
        <v>1</v>
      </c>
      <c r="AX99">
        <f t="shared" si="2"/>
        <v>65</v>
      </c>
      <c r="AY99" s="8">
        <v>0</v>
      </c>
      <c r="AZ99" s="8">
        <v>0</v>
      </c>
      <c r="BA99" s="8">
        <v>0</v>
      </c>
      <c r="BB99" s="9">
        <v>0</v>
      </c>
      <c r="BC99" s="27">
        <v>0</v>
      </c>
      <c r="BD99">
        <v>1</v>
      </c>
      <c r="BE99">
        <v>1</v>
      </c>
      <c r="BF99">
        <v>0</v>
      </c>
    </row>
    <row r="100" spans="1:58" x14ac:dyDescent="0.25">
      <c r="A100" s="9" t="s">
        <v>114</v>
      </c>
      <c r="B100" s="9" t="s">
        <v>130</v>
      </c>
      <c r="C100" s="9" t="s">
        <v>60</v>
      </c>
      <c r="D100" s="9" t="s">
        <v>61</v>
      </c>
      <c r="E100" s="9" t="s">
        <v>114</v>
      </c>
      <c r="F100" s="9" t="s">
        <v>115</v>
      </c>
      <c r="G100" s="9" t="s">
        <v>114</v>
      </c>
      <c r="H100" s="9" t="s">
        <v>130</v>
      </c>
      <c r="I100" s="9" t="s">
        <v>324</v>
      </c>
      <c r="J100" s="28" t="s">
        <v>325</v>
      </c>
      <c r="K100" s="9">
        <v>10</v>
      </c>
      <c r="L100" s="9">
        <v>10</v>
      </c>
      <c r="M100" s="9">
        <v>197</v>
      </c>
      <c r="N100" s="9">
        <v>195</v>
      </c>
      <c r="O100" s="9">
        <v>205</v>
      </c>
      <c r="P100" s="9">
        <v>597</v>
      </c>
      <c r="Q100" s="26">
        <v>32</v>
      </c>
      <c r="R100" s="26">
        <v>48</v>
      </c>
      <c r="S100">
        <v>1</v>
      </c>
      <c r="T100">
        <v>0</v>
      </c>
      <c r="U100">
        <v>0</v>
      </c>
      <c r="V100">
        <v>1</v>
      </c>
      <c r="W100">
        <v>1</v>
      </c>
      <c r="X100">
        <v>1</v>
      </c>
      <c r="Y100"/>
      <c r="Z100">
        <v>1</v>
      </c>
      <c r="AA100">
        <v>1</v>
      </c>
      <c r="AB100">
        <v>0</v>
      </c>
      <c r="AC100">
        <v>0</v>
      </c>
      <c r="AD100">
        <v>0</v>
      </c>
      <c r="AE100">
        <v>0</v>
      </c>
      <c r="AF100">
        <v>5</v>
      </c>
      <c r="AG100" s="9">
        <v>26</v>
      </c>
      <c r="AH100" s="9">
        <v>17</v>
      </c>
      <c r="AI100" s="9">
        <v>11</v>
      </c>
      <c r="AJ100" s="9">
        <v>6</v>
      </c>
      <c r="AK100" s="9">
        <v>2</v>
      </c>
      <c r="AL100" s="9">
        <v>0</v>
      </c>
      <c r="AM100" s="9">
        <v>9</v>
      </c>
      <c r="AN100" s="9">
        <v>0</v>
      </c>
      <c r="AO100" s="9">
        <v>0</v>
      </c>
      <c r="AP100" s="9">
        <v>6</v>
      </c>
      <c r="AQ100" s="8">
        <v>5</v>
      </c>
      <c r="AR100" s="8">
        <v>7</v>
      </c>
      <c r="AS100" s="8">
        <v>5</v>
      </c>
      <c r="AT100">
        <v>1</v>
      </c>
      <c r="AU100">
        <v>4</v>
      </c>
      <c r="AV100">
        <v>180</v>
      </c>
      <c r="AW100">
        <v>1</v>
      </c>
      <c r="AX100">
        <f t="shared" si="2"/>
        <v>65</v>
      </c>
      <c r="AY100" s="8">
        <v>0</v>
      </c>
      <c r="AZ100" s="8">
        <v>0</v>
      </c>
      <c r="BA100" s="8">
        <v>2</v>
      </c>
      <c r="BB100" s="9">
        <v>0</v>
      </c>
      <c r="BC100" s="27">
        <v>0</v>
      </c>
      <c r="BD100">
        <v>1</v>
      </c>
      <c r="BE100">
        <v>1</v>
      </c>
      <c r="BF100">
        <v>0</v>
      </c>
    </row>
    <row r="101" spans="1:58" x14ac:dyDescent="0.25">
      <c r="A101" s="9" t="s">
        <v>114</v>
      </c>
      <c r="B101" s="9" t="s">
        <v>130</v>
      </c>
      <c r="C101" s="9" t="s">
        <v>60</v>
      </c>
      <c r="D101" s="9" t="s">
        <v>61</v>
      </c>
      <c r="E101" s="9" t="s">
        <v>114</v>
      </c>
      <c r="F101" s="9" t="s">
        <v>115</v>
      </c>
      <c r="G101" s="9" t="s">
        <v>114</v>
      </c>
      <c r="H101" s="9" t="s">
        <v>130</v>
      </c>
      <c r="I101" s="9" t="s">
        <v>396</v>
      </c>
      <c r="J101" s="28" t="s">
        <v>397</v>
      </c>
      <c r="K101" s="9">
        <v>12</v>
      </c>
      <c r="L101" s="9">
        <v>12</v>
      </c>
      <c r="M101" s="9">
        <v>243</v>
      </c>
      <c r="N101" s="9">
        <v>222</v>
      </c>
      <c r="O101" s="9">
        <v>218</v>
      </c>
      <c r="P101" s="9">
        <v>683</v>
      </c>
      <c r="Q101" s="26">
        <v>32</v>
      </c>
      <c r="R101" s="26">
        <v>48</v>
      </c>
      <c r="S101">
        <v>1</v>
      </c>
      <c r="T101">
        <v>0</v>
      </c>
      <c r="U101">
        <v>0</v>
      </c>
      <c r="V101">
        <v>1</v>
      </c>
      <c r="W101">
        <v>1</v>
      </c>
      <c r="X101">
        <v>1</v>
      </c>
      <c r="Y101"/>
      <c r="Z101">
        <v>1</v>
      </c>
      <c r="AA101">
        <v>1</v>
      </c>
      <c r="AB101">
        <v>0</v>
      </c>
      <c r="AC101">
        <v>0</v>
      </c>
      <c r="AD101">
        <v>0</v>
      </c>
      <c r="AE101">
        <v>0</v>
      </c>
      <c r="AF101">
        <v>5</v>
      </c>
      <c r="AG101" s="9">
        <v>54</v>
      </c>
      <c r="AH101" s="9">
        <v>23</v>
      </c>
      <c r="AI101" s="9">
        <v>12</v>
      </c>
      <c r="AJ101" s="9">
        <v>10</v>
      </c>
      <c r="AK101" s="9">
        <v>2</v>
      </c>
      <c r="AL101" s="9">
        <v>0</v>
      </c>
      <c r="AM101" s="9">
        <v>10</v>
      </c>
      <c r="AN101" s="9">
        <v>2</v>
      </c>
      <c r="AO101" s="9">
        <v>0</v>
      </c>
      <c r="AP101" s="9">
        <v>8</v>
      </c>
      <c r="AQ101" s="8">
        <v>8</v>
      </c>
      <c r="AR101" s="8">
        <v>10</v>
      </c>
      <c r="AS101" s="8">
        <v>8</v>
      </c>
      <c r="AT101">
        <v>1</v>
      </c>
      <c r="AU101">
        <v>3</v>
      </c>
      <c r="AV101">
        <v>135</v>
      </c>
      <c r="AW101">
        <v>1</v>
      </c>
      <c r="AX101">
        <f t="shared" ref="AX101:AX132" si="3">AW101*65</f>
        <v>65</v>
      </c>
      <c r="AY101" s="8">
        <v>0</v>
      </c>
      <c r="AZ101" s="8">
        <v>0</v>
      </c>
      <c r="BA101" s="8">
        <v>0</v>
      </c>
      <c r="BB101" s="9">
        <v>1</v>
      </c>
      <c r="BC101" s="27">
        <v>0</v>
      </c>
      <c r="BD101">
        <v>1</v>
      </c>
      <c r="BE101">
        <v>1</v>
      </c>
      <c r="BF101">
        <v>0</v>
      </c>
    </row>
    <row r="102" spans="1:58" x14ac:dyDescent="0.25">
      <c r="A102" s="9" t="s">
        <v>114</v>
      </c>
      <c r="B102" s="9" t="s">
        <v>130</v>
      </c>
      <c r="C102" s="9" t="s">
        <v>60</v>
      </c>
      <c r="D102" s="9" t="s">
        <v>61</v>
      </c>
      <c r="E102" s="9" t="s">
        <v>114</v>
      </c>
      <c r="F102" s="9" t="s">
        <v>115</v>
      </c>
      <c r="G102" s="9" t="s">
        <v>112</v>
      </c>
      <c r="H102" s="9" t="s">
        <v>113</v>
      </c>
      <c r="I102" s="9" t="s">
        <v>418</v>
      </c>
      <c r="J102" s="28" t="s">
        <v>419</v>
      </c>
      <c r="K102" s="9">
        <v>12</v>
      </c>
      <c r="L102" s="9">
        <v>12</v>
      </c>
      <c r="M102" s="9">
        <v>291</v>
      </c>
      <c r="N102" s="9">
        <v>238</v>
      </c>
      <c r="O102" s="9">
        <v>206</v>
      </c>
      <c r="P102" s="9">
        <v>735</v>
      </c>
      <c r="Q102" s="26">
        <v>34</v>
      </c>
      <c r="R102" s="26">
        <v>51</v>
      </c>
      <c r="S102">
        <v>1</v>
      </c>
      <c r="T102">
        <v>0</v>
      </c>
      <c r="U102">
        <v>0</v>
      </c>
      <c r="V102">
        <v>1</v>
      </c>
      <c r="W102">
        <v>1</v>
      </c>
      <c r="X102">
        <v>1</v>
      </c>
      <c r="Y102"/>
      <c r="Z102">
        <v>1</v>
      </c>
      <c r="AA102">
        <v>1</v>
      </c>
      <c r="AB102">
        <v>0</v>
      </c>
      <c r="AC102">
        <v>0</v>
      </c>
      <c r="AD102">
        <v>0</v>
      </c>
      <c r="AE102">
        <v>0</v>
      </c>
      <c r="AF102">
        <v>5</v>
      </c>
      <c r="AG102" s="9">
        <v>42</v>
      </c>
      <c r="AH102" s="9">
        <v>23</v>
      </c>
      <c r="AI102" s="9">
        <v>14</v>
      </c>
      <c r="AJ102" s="9">
        <v>9</v>
      </c>
      <c r="AK102" s="9">
        <v>1</v>
      </c>
      <c r="AL102" s="9">
        <v>2</v>
      </c>
      <c r="AM102" s="9">
        <v>11</v>
      </c>
      <c r="AN102" s="9">
        <v>1</v>
      </c>
      <c r="AO102" s="9">
        <v>1</v>
      </c>
      <c r="AP102" s="9">
        <v>7</v>
      </c>
      <c r="AQ102" s="8">
        <v>8</v>
      </c>
      <c r="AR102" s="8">
        <v>16</v>
      </c>
      <c r="AS102" s="8">
        <v>8</v>
      </c>
      <c r="AT102">
        <v>1</v>
      </c>
      <c r="AU102">
        <v>3</v>
      </c>
      <c r="AV102">
        <v>135</v>
      </c>
      <c r="AW102">
        <v>1</v>
      </c>
      <c r="AX102">
        <f t="shared" si="3"/>
        <v>65</v>
      </c>
      <c r="AY102" s="8">
        <v>1</v>
      </c>
      <c r="AZ102" s="8">
        <v>1</v>
      </c>
      <c r="BA102" s="8">
        <v>1</v>
      </c>
      <c r="BB102" s="9">
        <v>1</v>
      </c>
      <c r="BC102" s="27">
        <v>0</v>
      </c>
      <c r="BD102">
        <v>1</v>
      </c>
      <c r="BE102">
        <v>1</v>
      </c>
      <c r="BF102">
        <v>0</v>
      </c>
    </row>
    <row r="103" spans="1:58" x14ac:dyDescent="0.25">
      <c r="A103" s="9" t="s">
        <v>143</v>
      </c>
      <c r="B103" s="9" t="s">
        <v>185</v>
      </c>
      <c r="C103" s="9" t="s">
        <v>60</v>
      </c>
      <c r="D103" s="9" t="s">
        <v>61</v>
      </c>
      <c r="E103" s="9" t="s">
        <v>143</v>
      </c>
      <c r="F103" s="9" t="s">
        <v>144</v>
      </c>
      <c r="G103" s="9" t="s">
        <v>141</v>
      </c>
      <c r="H103" s="9" t="s">
        <v>142</v>
      </c>
      <c r="I103" s="9" t="s">
        <v>410</v>
      </c>
      <c r="J103" s="28" t="s">
        <v>411</v>
      </c>
      <c r="K103" s="9">
        <v>12</v>
      </c>
      <c r="L103" s="9">
        <v>12</v>
      </c>
      <c r="M103" s="9">
        <v>211</v>
      </c>
      <c r="N103" s="9">
        <v>259</v>
      </c>
      <c r="O103" s="9">
        <v>107</v>
      </c>
      <c r="P103" s="9">
        <v>577</v>
      </c>
      <c r="Q103" s="26">
        <v>32</v>
      </c>
      <c r="R103" s="26">
        <v>48</v>
      </c>
      <c r="S103">
        <v>1</v>
      </c>
      <c r="T103">
        <v>0</v>
      </c>
      <c r="U103">
        <v>0</v>
      </c>
      <c r="V103">
        <v>1</v>
      </c>
      <c r="W103">
        <v>1</v>
      </c>
      <c r="X103">
        <v>1</v>
      </c>
      <c r="Y103"/>
      <c r="Z103">
        <v>1</v>
      </c>
      <c r="AA103">
        <v>1</v>
      </c>
      <c r="AB103">
        <v>0</v>
      </c>
      <c r="AC103">
        <v>0</v>
      </c>
      <c r="AD103">
        <v>0</v>
      </c>
      <c r="AE103">
        <v>0</v>
      </c>
      <c r="AF103">
        <v>5</v>
      </c>
      <c r="AG103" s="9">
        <v>35</v>
      </c>
      <c r="AH103" s="9">
        <v>18</v>
      </c>
      <c r="AI103" s="9">
        <v>10</v>
      </c>
      <c r="AJ103" s="9">
        <v>7</v>
      </c>
      <c r="AK103" s="9">
        <v>6</v>
      </c>
      <c r="AL103" s="9">
        <v>0</v>
      </c>
      <c r="AM103" s="9">
        <v>4</v>
      </c>
      <c r="AN103" s="9">
        <v>2</v>
      </c>
      <c r="AO103" s="9">
        <v>0</v>
      </c>
      <c r="AP103" s="9">
        <v>5</v>
      </c>
      <c r="AQ103" s="8">
        <v>5</v>
      </c>
      <c r="AR103" s="8">
        <v>8</v>
      </c>
      <c r="AS103" s="8">
        <v>5</v>
      </c>
      <c r="AT103">
        <v>1</v>
      </c>
      <c r="AU103">
        <v>3</v>
      </c>
      <c r="AV103">
        <v>135</v>
      </c>
      <c r="AW103">
        <v>1</v>
      </c>
      <c r="AX103">
        <f t="shared" si="3"/>
        <v>65</v>
      </c>
      <c r="AY103" s="8">
        <v>0</v>
      </c>
      <c r="AZ103" s="8">
        <v>0</v>
      </c>
      <c r="BA103" s="8">
        <v>0</v>
      </c>
      <c r="BB103" s="9">
        <v>0</v>
      </c>
      <c r="BC103" s="27">
        <v>0</v>
      </c>
      <c r="BD103">
        <v>1</v>
      </c>
      <c r="BE103">
        <v>1</v>
      </c>
      <c r="BF103">
        <v>0</v>
      </c>
    </row>
    <row r="104" spans="1:58" x14ac:dyDescent="0.25">
      <c r="A104" s="9" t="s">
        <v>143</v>
      </c>
      <c r="B104" s="9" t="s">
        <v>185</v>
      </c>
      <c r="C104" s="9" t="s">
        <v>60</v>
      </c>
      <c r="D104" s="9" t="s">
        <v>61</v>
      </c>
      <c r="E104" s="9" t="s">
        <v>143</v>
      </c>
      <c r="F104" s="9" t="s">
        <v>144</v>
      </c>
      <c r="G104" s="9" t="s">
        <v>143</v>
      </c>
      <c r="H104" s="9" t="s">
        <v>185</v>
      </c>
      <c r="I104" s="9" t="s">
        <v>186</v>
      </c>
      <c r="J104" s="28" t="s">
        <v>187</v>
      </c>
      <c r="K104" s="9">
        <v>10</v>
      </c>
      <c r="L104" s="9">
        <v>10</v>
      </c>
      <c r="M104" s="9">
        <v>177</v>
      </c>
      <c r="N104" s="9">
        <v>193</v>
      </c>
      <c r="O104" s="9">
        <v>163</v>
      </c>
      <c r="P104" s="9">
        <v>533</v>
      </c>
      <c r="Q104" s="26">
        <v>32</v>
      </c>
      <c r="R104" s="26">
        <v>48</v>
      </c>
      <c r="S104">
        <v>1</v>
      </c>
      <c r="T104">
        <v>0</v>
      </c>
      <c r="U104">
        <v>0</v>
      </c>
      <c r="V104">
        <v>1</v>
      </c>
      <c r="W104">
        <v>1</v>
      </c>
      <c r="X104">
        <v>1</v>
      </c>
      <c r="Y104"/>
      <c r="Z104">
        <v>1</v>
      </c>
      <c r="AA104">
        <v>1</v>
      </c>
      <c r="AB104">
        <v>0</v>
      </c>
      <c r="AC104">
        <v>0</v>
      </c>
      <c r="AD104">
        <v>0</v>
      </c>
      <c r="AE104">
        <v>0</v>
      </c>
      <c r="AF104">
        <v>5</v>
      </c>
      <c r="AG104" s="9">
        <v>27</v>
      </c>
      <c r="AH104" s="9">
        <v>17</v>
      </c>
      <c r="AI104" s="9">
        <v>13</v>
      </c>
      <c r="AJ104" s="9">
        <v>4</v>
      </c>
      <c r="AK104" s="9">
        <v>4</v>
      </c>
      <c r="AL104" s="9">
        <v>1</v>
      </c>
      <c r="AM104" s="9">
        <v>8</v>
      </c>
      <c r="AN104" s="9">
        <v>0</v>
      </c>
      <c r="AO104" s="9">
        <v>2</v>
      </c>
      <c r="AP104" s="9">
        <v>2</v>
      </c>
      <c r="AQ104" s="8">
        <v>4</v>
      </c>
      <c r="AR104" s="8">
        <v>9</v>
      </c>
      <c r="AS104" s="8">
        <v>4</v>
      </c>
      <c r="AT104">
        <v>1</v>
      </c>
      <c r="AU104">
        <v>3</v>
      </c>
      <c r="AV104">
        <v>135</v>
      </c>
      <c r="AW104">
        <v>2</v>
      </c>
      <c r="AX104">
        <f t="shared" si="3"/>
        <v>130</v>
      </c>
      <c r="AY104" s="8">
        <v>0</v>
      </c>
      <c r="AZ104" s="8">
        <v>0</v>
      </c>
      <c r="BA104" s="8">
        <v>0</v>
      </c>
      <c r="BB104" s="9">
        <v>0</v>
      </c>
      <c r="BC104" s="27">
        <v>0</v>
      </c>
      <c r="BD104">
        <v>1</v>
      </c>
      <c r="BE104">
        <v>1</v>
      </c>
      <c r="BF104">
        <v>0</v>
      </c>
    </row>
    <row r="105" spans="1:58" x14ac:dyDescent="0.25">
      <c r="A105" s="9" t="s">
        <v>143</v>
      </c>
      <c r="B105" s="9" t="s">
        <v>185</v>
      </c>
      <c r="C105" s="9" t="s">
        <v>60</v>
      </c>
      <c r="D105" s="9" t="s">
        <v>61</v>
      </c>
      <c r="E105" s="9" t="s">
        <v>143</v>
      </c>
      <c r="F105" s="9" t="s">
        <v>144</v>
      </c>
      <c r="G105" s="9" t="s">
        <v>143</v>
      </c>
      <c r="H105" s="9" t="s">
        <v>185</v>
      </c>
      <c r="I105" s="9" t="s">
        <v>243</v>
      </c>
      <c r="J105" s="28" t="s">
        <v>244</v>
      </c>
      <c r="K105" s="9">
        <v>11</v>
      </c>
      <c r="L105" s="9">
        <v>11</v>
      </c>
      <c r="M105" s="9">
        <v>219</v>
      </c>
      <c r="N105" s="9">
        <v>181</v>
      </c>
      <c r="O105" s="9">
        <v>171</v>
      </c>
      <c r="P105" s="9">
        <v>571</v>
      </c>
      <c r="Q105" s="26">
        <v>32</v>
      </c>
      <c r="R105" s="26">
        <v>48</v>
      </c>
      <c r="S105">
        <v>1</v>
      </c>
      <c r="T105">
        <v>0</v>
      </c>
      <c r="U105">
        <v>0</v>
      </c>
      <c r="V105">
        <v>1</v>
      </c>
      <c r="W105">
        <v>1</v>
      </c>
      <c r="X105">
        <v>1</v>
      </c>
      <c r="Y105"/>
      <c r="Z105">
        <v>1</v>
      </c>
      <c r="AA105">
        <v>1</v>
      </c>
      <c r="AB105">
        <v>0</v>
      </c>
      <c r="AC105">
        <v>0</v>
      </c>
      <c r="AD105">
        <v>0</v>
      </c>
      <c r="AE105">
        <v>0</v>
      </c>
      <c r="AF105">
        <v>5</v>
      </c>
      <c r="AG105" s="9">
        <v>24</v>
      </c>
      <c r="AH105" s="9">
        <v>15</v>
      </c>
      <c r="AI105" s="9">
        <v>11</v>
      </c>
      <c r="AJ105" s="9">
        <v>4</v>
      </c>
      <c r="AK105" s="9">
        <v>2</v>
      </c>
      <c r="AL105" s="9">
        <v>0</v>
      </c>
      <c r="AM105" s="9">
        <v>9</v>
      </c>
      <c r="AN105" s="9">
        <v>1</v>
      </c>
      <c r="AO105" s="9">
        <v>1</v>
      </c>
      <c r="AP105" s="9">
        <v>2</v>
      </c>
      <c r="AQ105" s="8">
        <v>3</v>
      </c>
      <c r="AR105" s="8">
        <v>10</v>
      </c>
      <c r="AS105" s="8">
        <v>3</v>
      </c>
      <c r="AT105">
        <v>1</v>
      </c>
      <c r="AU105">
        <v>4</v>
      </c>
      <c r="AV105">
        <v>180</v>
      </c>
      <c r="AW105">
        <v>1</v>
      </c>
      <c r="AX105">
        <f t="shared" si="3"/>
        <v>65</v>
      </c>
      <c r="AY105" s="8">
        <v>0</v>
      </c>
      <c r="AZ105" s="8">
        <v>0</v>
      </c>
      <c r="BA105" s="8">
        <v>0</v>
      </c>
      <c r="BB105" s="9">
        <v>1</v>
      </c>
      <c r="BC105" s="27">
        <v>0</v>
      </c>
      <c r="BD105">
        <v>1</v>
      </c>
      <c r="BE105">
        <v>1</v>
      </c>
      <c r="BF105">
        <v>0</v>
      </c>
    </row>
    <row r="106" spans="1:58" x14ac:dyDescent="0.25">
      <c r="A106" s="9" t="s">
        <v>143</v>
      </c>
      <c r="B106" s="9" t="s">
        <v>185</v>
      </c>
      <c r="C106" s="9" t="s">
        <v>60</v>
      </c>
      <c r="D106" s="9" t="s">
        <v>61</v>
      </c>
      <c r="E106" s="9" t="s">
        <v>143</v>
      </c>
      <c r="F106" s="9" t="s">
        <v>144</v>
      </c>
      <c r="G106" s="9" t="s">
        <v>143</v>
      </c>
      <c r="H106" s="9" t="s">
        <v>185</v>
      </c>
      <c r="I106" s="9" t="s">
        <v>364</v>
      </c>
      <c r="J106" s="28" t="s">
        <v>365</v>
      </c>
      <c r="K106" s="9">
        <v>8</v>
      </c>
      <c r="L106" s="9">
        <v>8</v>
      </c>
      <c r="M106" s="9">
        <v>161</v>
      </c>
      <c r="N106" s="9">
        <v>244</v>
      </c>
      <c r="O106" s="9">
        <v>165</v>
      </c>
      <c r="P106" s="9">
        <v>570</v>
      </c>
      <c r="Q106" s="26">
        <v>32</v>
      </c>
      <c r="R106" s="26">
        <v>48</v>
      </c>
      <c r="S106">
        <v>1</v>
      </c>
      <c r="T106">
        <v>0</v>
      </c>
      <c r="U106">
        <v>0</v>
      </c>
      <c r="V106">
        <v>1</v>
      </c>
      <c r="W106">
        <v>1</v>
      </c>
      <c r="X106">
        <v>1</v>
      </c>
      <c r="Y106"/>
      <c r="Z106">
        <v>1</v>
      </c>
      <c r="AA106">
        <v>1</v>
      </c>
      <c r="AB106">
        <v>0</v>
      </c>
      <c r="AC106">
        <v>0</v>
      </c>
      <c r="AD106">
        <v>0</v>
      </c>
      <c r="AE106">
        <v>0</v>
      </c>
      <c r="AF106">
        <v>5</v>
      </c>
      <c r="AG106" s="9">
        <v>27</v>
      </c>
      <c r="AH106" s="9">
        <v>14</v>
      </c>
      <c r="AI106" s="9">
        <v>9</v>
      </c>
      <c r="AJ106" s="9">
        <v>5</v>
      </c>
      <c r="AK106" s="9">
        <v>0</v>
      </c>
      <c r="AL106" s="9">
        <v>0</v>
      </c>
      <c r="AM106" s="9">
        <v>9</v>
      </c>
      <c r="AN106" s="9">
        <v>0</v>
      </c>
      <c r="AO106" s="9">
        <v>3</v>
      </c>
      <c r="AP106" s="9">
        <v>2</v>
      </c>
      <c r="AQ106" s="8">
        <v>5</v>
      </c>
      <c r="AR106" s="8">
        <v>9</v>
      </c>
      <c r="AS106" s="8">
        <v>5</v>
      </c>
      <c r="AT106">
        <v>1</v>
      </c>
      <c r="AU106">
        <v>3</v>
      </c>
      <c r="AV106">
        <v>135</v>
      </c>
      <c r="AW106">
        <v>1</v>
      </c>
      <c r="AX106">
        <f t="shared" si="3"/>
        <v>65</v>
      </c>
      <c r="AY106" s="8">
        <v>0</v>
      </c>
      <c r="AZ106" s="8">
        <v>0</v>
      </c>
      <c r="BA106" s="8">
        <v>1</v>
      </c>
      <c r="BB106" s="9">
        <v>0</v>
      </c>
      <c r="BC106" s="27">
        <v>0</v>
      </c>
      <c r="BD106">
        <v>1</v>
      </c>
      <c r="BE106">
        <v>1</v>
      </c>
      <c r="BF106">
        <v>0</v>
      </c>
    </row>
    <row r="107" spans="1:58" x14ac:dyDescent="0.25">
      <c r="A107" s="9" t="s">
        <v>143</v>
      </c>
      <c r="B107" s="9" t="s">
        <v>185</v>
      </c>
      <c r="C107" s="9" t="s">
        <v>60</v>
      </c>
      <c r="D107" s="9" t="s">
        <v>61</v>
      </c>
      <c r="E107" s="9" t="s">
        <v>143</v>
      </c>
      <c r="F107" s="9" t="s">
        <v>144</v>
      </c>
      <c r="G107" s="9" t="s">
        <v>143</v>
      </c>
      <c r="H107" s="9" t="s">
        <v>185</v>
      </c>
      <c r="I107" s="9" t="s">
        <v>428</v>
      </c>
      <c r="J107" s="28" t="s">
        <v>429</v>
      </c>
      <c r="K107" s="9">
        <v>9</v>
      </c>
      <c r="L107" s="9">
        <v>9</v>
      </c>
      <c r="M107" s="9">
        <v>182</v>
      </c>
      <c r="N107" s="9">
        <v>223</v>
      </c>
      <c r="O107" s="9">
        <v>213</v>
      </c>
      <c r="P107" s="9">
        <v>618</v>
      </c>
      <c r="Q107" s="26">
        <v>32</v>
      </c>
      <c r="R107" s="26">
        <v>48</v>
      </c>
      <c r="S107">
        <v>1</v>
      </c>
      <c r="T107">
        <v>0</v>
      </c>
      <c r="U107">
        <v>0</v>
      </c>
      <c r="V107">
        <v>1</v>
      </c>
      <c r="W107">
        <v>1</v>
      </c>
      <c r="X107">
        <v>1</v>
      </c>
      <c r="Y107"/>
      <c r="Z107">
        <v>1</v>
      </c>
      <c r="AA107">
        <v>1</v>
      </c>
      <c r="AB107">
        <v>0</v>
      </c>
      <c r="AC107">
        <v>0</v>
      </c>
      <c r="AD107">
        <v>0</v>
      </c>
      <c r="AE107">
        <v>0</v>
      </c>
      <c r="AF107">
        <v>5</v>
      </c>
      <c r="AG107" s="9">
        <v>25</v>
      </c>
      <c r="AH107" s="9">
        <v>16</v>
      </c>
      <c r="AI107" s="9">
        <v>10</v>
      </c>
      <c r="AJ107" s="9">
        <v>6</v>
      </c>
      <c r="AK107" s="9">
        <v>3</v>
      </c>
      <c r="AL107" s="9">
        <v>0</v>
      </c>
      <c r="AM107" s="9">
        <v>7</v>
      </c>
      <c r="AN107" s="9">
        <v>0</v>
      </c>
      <c r="AO107" s="9">
        <v>0</v>
      </c>
      <c r="AP107" s="9">
        <v>6</v>
      </c>
      <c r="AQ107" s="8">
        <v>6</v>
      </c>
      <c r="AR107" s="8">
        <v>8</v>
      </c>
      <c r="AS107" s="8">
        <v>6</v>
      </c>
      <c r="AT107">
        <v>1</v>
      </c>
      <c r="AU107">
        <v>3</v>
      </c>
      <c r="AV107">
        <v>135</v>
      </c>
      <c r="AW107">
        <v>1</v>
      </c>
      <c r="AX107">
        <f t="shared" si="3"/>
        <v>65</v>
      </c>
      <c r="AY107" s="8">
        <v>0</v>
      </c>
      <c r="AZ107" s="8">
        <v>0</v>
      </c>
      <c r="BA107" s="8">
        <v>0</v>
      </c>
      <c r="BB107" s="9">
        <v>0</v>
      </c>
      <c r="BC107" s="27">
        <v>0</v>
      </c>
      <c r="BD107">
        <v>1</v>
      </c>
      <c r="BE107">
        <v>1</v>
      </c>
      <c r="BF107">
        <v>0</v>
      </c>
    </row>
    <row r="108" spans="1:58" x14ac:dyDescent="0.25">
      <c r="A108" s="9" t="s">
        <v>141</v>
      </c>
      <c r="B108" s="9" t="s">
        <v>142</v>
      </c>
      <c r="C108" s="9" t="s">
        <v>60</v>
      </c>
      <c r="D108" s="9" t="s">
        <v>61</v>
      </c>
      <c r="E108" s="9" t="s">
        <v>143</v>
      </c>
      <c r="F108" s="9" t="s">
        <v>144</v>
      </c>
      <c r="G108" s="9" t="s">
        <v>141</v>
      </c>
      <c r="H108" s="9" t="s">
        <v>142</v>
      </c>
      <c r="I108" s="9" t="s">
        <v>338</v>
      </c>
      <c r="J108" s="28" t="s">
        <v>339</v>
      </c>
      <c r="K108" s="9">
        <v>8</v>
      </c>
      <c r="L108" s="9">
        <v>8</v>
      </c>
      <c r="M108" s="9">
        <v>173</v>
      </c>
      <c r="N108" s="9">
        <v>290</v>
      </c>
      <c r="O108" s="9">
        <v>153</v>
      </c>
      <c r="P108" s="9">
        <v>616</v>
      </c>
      <c r="Q108" s="26">
        <v>34</v>
      </c>
      <c r="R108" s="26">
        <v>51</v>
      </c>
      <c r="S108">
        <v>1</v>
      </c>
      <c r="T108">
        <v>0</v>
      </c>
      <c r="U108">
        <v>0</v>
      </c>
      <c r="V108">
        <v>1</v>
      </c>
      <c r="W108">
        <v>1</v>
      </c>
      <c r="X108">
        <v>1</v>
      </c>
      <c r="Y108"/>
      <c r="Z108">
        <v>1</v>
      </c>
      <c r="AA108">
        <v>1</v>
      </c>
      <c r="AB108">
        <v>0</v>
      </c>
      <c r="AC108">
        <v>0</v>
      </c>
      <c r="AD108">
        <v>0</v>
      </c>
      <c r="AE108">
        <v>0</v>
      </c>
      <c r="AF108">
        <v>5</v>
      </c>
      <c r="AG108" s="9">
        <v>19</v>
      </c>
      <c r="AH108" s="9">
        <v>11</v>
      </c>
      <c r="AI108" s="9">
        <v>7</v>
      </c>
      <c r="AJ108" s="9">
        <v>4</v>
      </c>
      <c r="AK108" s="9">
        <v>4</v>
      </c>
      <c r="AL108" s="9">
        <v>0</v>
      </c>
      <c r="AM108" s="9">
        <v>3</v>
      </c>
      <c r="AN108" s="9">
        <v>3</v>
      </c>
      <c r="AO108" s="9">
        <v>0</v>
      </c>
      <c r="AP108" s="9">
        <v>1</v>
      </c>
      <c r="AQ108" s="8">
        <v>1</v>
      </c>
      <c r="AR108" s="8">
        <v>3</v>
      </c>
      <c r="AS108" s="8">
        <v>1</v>
      </c>
      <c r="AT108">
        <v>1</v>
      </c>
      <c r="AU108">
        <v>3</v>
      </c>
      <c r="AV108">
        <v>135</v>
      </c>
      <c r="AW108">
        <v>1</v>
      </c>
      <c r="AX108">
        <f t="shared" si="3"/>
        <v>65</v>
      </c>
      <c r="AY108" s="8">
        <v>0</v>
      </c>
      <c r="AZ108" s="8">
        <v>0</v>
      </c>
      <c r="BA108" s="8">
        <v>0</v>
      </c>
      <c r="BB108" s="9">
        <v>1</v>
      </c>
      <c r="BC108" s="27">
        <v>0</v>
      </c>
      <c r="BD108">
        <v>1</v>
      </c>
      <c r="BE108">
        <v>1</v>
      </c>
      <c r="BF108">
        <v>0</v>
      </c>
    </row>
    <row r="109" spans="1:58" x14ac:dyDescent="0.25">
      <c r="A109" s="9" t="s">
        <v>141</v>
      </c>
      <c r="B109" s="9" t="s">
        <v>142</v>
      </c>
      <c r="C109" s="9" t="s">
        <v>60</v>
      </c>
      <c r="D109" s="9" t="s">
        <v>61</v>
      </c>
      <c r="E109" s="9" t="s">
        <v>143</v>
      </c>
      <c r="F109" s="9" t="s">
        <v>144</v>
      </c>
      <c r="G109" s="9" t="s">
        <v>141</v>
      </c>
      <c r="H109" s="9" t="s">
        <v>142</v>
      </c>
      <c r="I109" s="9" t="s">
        <v>145</v>
      </c>
      <c r="J109" s="28" t="s">
        <v>146</v>
      </c>
      <c r="K109" s="9">
        <v>12</v>
      </c>
      <c r="L109" s="9">
        <v>12</v>
      </c>
      <c r="M109" s="9">
        <v>229</v>
      </c>
      <c r="N109" s="9">
        <v>265</v>
      </c>
      <c r="O109" s="9">
        <v>87</v>
      </c>
      <c r="P109" s="9">
        <v>581</v>
      </c>
      <c r="Q109" s="26">
        <v>32</v>
      </c>
      <c r="R109" s="26">
        <v>48</v>
      </c>
      <c r="S109">
        <v>1</v>
      </c>
      <c r="T109">
        <v>0</v>
      </c>
      <c r="U109">
        <v>0</v>
      </c>
      <c r="V109">
        <v>1</v>
      </c>
      <c r="W109">
        <v>1</v>
      </c>
      <c r="X109">
        <v>1</v>
      </c>
      <c r="Y109"/>
      <c r="Z109">
        <v>1</v>
      </c>
      <c r="AA109">
        <v>1</v>
      </c>
      <c r="AB109">
        <v>0</v>
      </c>
      <c r="AC109">
        <v>0</v>
      </c>
      <c r="AD109">
        <v>0</v>
      </c>
      <c r="AE109">
        <v>0</v>
      </c>
      <c r="AF109">
        <v>5</v>
      </c>
      <c r="AG109" s="9">
        <v>29</v>
      </c>
      <c r="AH109" s="9">
        <v>19</v>
      </c>
      <c r="AI109" s="9">
        <v>10</v>
      </c>
      <c r="AJ109" s="9">
        <v>9</v>
      </c>
      <c r="AK109" s="9">
        <v>4</v>
      </c>
      <c r="AL109" s="9">
        <v>0</v>
      </c>
      <c r="AM109" s="9">
        <v>6</v>
      </c>
      <c r="AN109" s="9">
        <v>4</v>
      </c>
      <c r="AO109" s="9">
        <v>1</v>
      </c>
      <c r="AP109" s="9">
        <v>4</v>
      </c>
      <c r="AQ109" s="8">
        <v>5</v>
      </c>
      <c r="AR109" s="8">
        <v>8</v>
      </c>
      <c r="AS109" s="8">
        <v>5</v>
      </c>
      <c r="AT109">
        <v>1</v>
      </c>
      <c r="AU109">
        <v>3</v>
      </c>
      <c r="AV109">
        <v>135</v>
      </c>
      <c r="AW109">
        <v>2</v>
      </c>
      <c r="AX109">
        <f t="shared" si="3"/>
        <v>130</v>
      </c>
      <c r="AY109" s="8">
        <v>0</v>
      </c>
      <c r="AZ109" s="8">
        <v>0</v>
      </c>
      <c r="BA109" s="8">
        <v>0</v>
      </c>
      <c r="BB109" s="9">
        <v>0</v>
      </c>
      <c r="BC109" s="27">
        <v>0</v>
      </c>
      <c r="BD109">
        <v>1</v>
      </c>
      <c r="BE109">
        <v>1</v>
      </c>
      <c r="BF109">
        <v>0</v>
      </c>
    </row>
    <row r="110" spans="1:58" x14ac:dyDescent="0.25">
      <c r="A110" s="9" t="s">
        <v>141</v>
      </c>
      <c r="B110" s="9" t="s">
        <v>142</v>
      </c>
      <c r="C110" s="9" t="s">
        <v>60</v>
      </c>
      <c r="D110" s="9" t="s">
        <v>61</v>
      </c>
      <c r="E110" s="9" t="s">
        <v>143</v>
      </c>
      <c r="F110" s="9" t="s">
        <v>144</v>
      </c>
      <c r="G110" s="9" t="s">
        <v>141</v>
      </c>
      <c r="H110" s="9" t="s">
        <v>142</v>
      </c>
      <c r="I110" s="9" t="s">
        <v>384</v>
      </c>
      <c r="J110" s="28" t="s">
        <v>385</v>
      </c>
      <c r="K110" s="9">
        <v>11</v>
      </c>
      <c r="L110" s="9">
        <v>11</v>
      </c>
      <c r="M110" s="9">
        <v>202</v>
      </c>
      <c r="N110" s="9">
        <v>249</v>
      </c>
      <c r="O110" s="9">
        <v>138</v>
      </c>
      <c r="P110" s="9">
        <v>589</v>
      </c>
      <c r="Q110" s="26">
        <v>32</v>
      </c>
      <c r="R110" s="26">
        <v>48</v>
      </c>
      <c r="S110">
        <v>1</v>
      </c>
      <c r="T110">
        <v>0</v>
      </c>
      <c r="U110">
        <v>0</v>
      </c>
      <c r="V110">
        <v>1</v>
      </c>
      <c r="W110">
        <v>1</v>
      </c>
      <c r="X110">
        <v>1</v>
      </c>
      <c r="Y110"/>
      <c r="Z110">
        <v>1</v>
      </c>
      <c r="AA110">
        <v>1</v>
      </c>
      <c r="AB110">
        <v>0</v>
      </c>
      <c r="AC110">
        <v>0</v>
      </c>
      <c r="AD110">
        <v>0</v>
      </c>
      <c r="AE110">
        <v>0</v>
      </c>
      <c r="AF110">
        <v>5</v>
      </c>
      <c r="AG110" s="9">
        <v>21</v>
      </c>
      <c r="AH110" s="9">
        <v>15</v>
      </c>
      <c r="AI110" s="9">
        <v>10</v>
      </c>
      <c r="AJ110" s="9">
        <v>5</v>
      </c>
      <c r="AK110" s="9">
        <v>5</v>
      </c>
      <c r="AL110" s="9">
        <v>1</v>
      </c>
      <c r="AM110" s="9">
        <v>4</v>
      </c>
      <c r="AN110" s="9">
        <v>3</v>
      </c>
      <c r="AO110" s="9">
        <v>1</v>
      </c>
      <c r="AP110" s="9">
        <v>1</v>
      </c>
      <c r="AQ110" s="8">
        <v>2</v>
      </c>
      <c r="AR110" s="8">
        <v>6</v>
      </c>
      <c r="AS110" s="8">
        <v>2</v>
      </c>
      <c r="AT110">
        <v>1</v>
      </c>
      <c r="AU110">
        <v>3</v>
      </c>
      <c r="AV110">
        <v>135</v>
      </c>
      <c r="AW110">
        <v>1</v>
      </c>
      <c r="AX110">
        <f t="shared" si="3"/>
        <v>65</v>
      </c>
      <c r="AY110" s="8">
        <v>0</v>
      </c>
      <c r="AZ110" s="8">
        <v>0</v>
      </c>
      <c r="BA110" s="8">
        <v>0</v>
      </c>
      <c r="BB110" s="9">
        <v>0</v>
      </c>
      <c r="BC110" s="27">
        <v>0</v>
      </c>
      <c r="BD110">
        <v>1</v>
      </c>
      <c r="BE110">
        <v>1</v>
      </c>
      <c r="BF110">
        <v>0</v>
      </c>
    </row>
    <row r="111" spans="1:58" x14ac:dyDescent="0.25">
      <c r="A111" s="9" t="s">
        <v>141</v>
      </c>
      <c r="B111" s="9" t="s">
        <v>142</v>
      </c>
      <c r="C111" s="9" t="s">
        <v>60</v>
      </c>
      <c r="D111" s="9" t="s">
        <v>61</v>
      </c>
      <c r="E111" s="9" t="s">
        <v>143</v>
      </c>
      <c r="F111" s="9" t="s">
        <v>144</v>
      </c>
      <c r="G111" s="9" t="s">
        <v>141</v>
      </c>
      <c r="H111" s="9" t="s">
        <v>142</v>
      </c>
      <c r="I111" s="9" t="s">
        <v>312</v>
      </c>
      <c r="J111" s="28" t="s">
        <v>313</v>
      </c>
      <c r="K111" s="9">
        <v>13</v>
      </c>
      <c r="L111" s="9">
        <v>13</v>
      </c>
      <c r="M111" s="9">
        <v>220</v>
      </c>
      <c r="N111" s="9">
        <v>210</v>
      </c>
      <c r="O111" s="9">
        <v>105</v>
      </c>
      <c r="P111" s="9">
        <v>535</v>
      </c>
      <c r="Q111" s="26">
        <v>32</v>
      </c>
      <c r="R111" s="26">
        <v>48</v>
      </c>
      <c r="S111">
        <v>1</v>
      </c>
      <c r="T111">
        <v>0</v>
      </c>
      <c r="U111">
        <v>0</v>
      </c>
      <c r="V111">
        <v>1</v>
      </c>
      <c r="W111">
        <v>1</v>
      </c>
      <c r="X111">
        <v>1</v>
      </c>
      <c r="Y111"/>
      <c r="Z111">
        <v>1</v>
      </c>
      <c r="AA111">
        <v>1</v>
      </c>
      <c r="AB111">
        <v>0</v>
      </c>
      <c r="AC111">
        <v>0</v>
      </c>
      <c r="AD111">
        <v>0</v>
      </c>
      <c r="AE111">
        <v>0</v>
      </c>
      <c r="AF111">
        <v>5</v>
      </c>
      <c r="AG111" s="9">
        <v>38</v>
      </c>
      <c r="AH111" s="9">
        <v>20</v>
      </c>
      <c r="AI111" s="9">
        <v>11</v>
      </c>
      <c r="AJ111" s="9">
        <v>9</v>
      </c>
      <c r="AK111" s="9">
        <v>5</v>
      </c>
      <c r="AL111" s="9">
        <v>0</v>
      </c>
      <c r="AM111" s="9">
        <v>6</v>
      </c>
      <c r="AN111" s="9">
        <v>2</v>
      </c>
      <c r="AO111" s="9">
        <v>4</v>
      </c>
      <c r="AP111" s="9">
        <v>3</v>
      </c>
      <c r="AQ111" s="8">
        <v>6</v>
      </c>
      <c r="AR111" s="8">
        <v>8</v>
      </c>
      <c r="AS111" s="8">
        <v>5</v>
      </c>
      <c r="AT111">
        <v>1</v>
      </c>
      <c r="AU111">
        <v>4</v>
      </c>
      <c r="AV111">
        <v>180</v>
      </c>
      <c r="AW111">
        <v>1</v>
      </c>
      <c r="AX111">
        <f t="shared" si="3"/>
        <v>65</v>
      </c>
      <c r="AY111" s="8">
        <v>0</v>
      </c>
      <c r="AZ111" s="8">
        <v>0</v>
      </c>
      <c r="BA111" s="8">
        <v>0</v>
      </c>
      <c r="BB111" s="9">
        <v>0</v>
      </c>
      <c r="BC111" s="27">
        <v>0</v>
      </c>
      <c r="BD111">
        <v>1</v>
      </c>
      <c r="BE111">
        <v>1</v>
      </c>
      <c r="BF111">
        <v>0</v>
      </c>
    </row>
    <row r="112" spans="1:58" x14ac:dyDescent="0.25">
      <c r="A112" s="9" t="s">
        <v>179</v>
      </c>
      <c r="B112" s="9" t="s">
        <v>180</v>
      </c>
      <c r="C112" s="9" t="s">
        <v>60</v>
      </c>
      <c r="D112" s="9" t="s">
        <v>61</v>
      </c>
      <c r="E112" s="9" t="s">
        <v>143</v>
      </c>
      <c r="F112" s="9" t="s">
        <v>144</v>
      </c>
      <c r="G112" s="9" t="s">
        <v>141</v>
      </c>
      <c r="H112" s="9" t="s">
        <v>142</v>
      </c>
      <c r="I112" s="9" t="s">
        <v>181</v>
      </c>
      <c r="J112" s="28" t="s">
        <v>182</v>
      </c>
      <c r="K112" s="9">
        <v>13</v>
      </c>
      <c r="L112" s="9">
        <v>13</v>
      </c>
      <c r="M112" s="9">
        <v>252</v>
      </c>
      <c r="N112" s="9">
        <v>315</v>
      </c>
      <c r="O112" s="9">
        <v>148</v>
      </c>
      <c r="P112" s="9">
        <v>715</v>
      </c>
      <c r="Q112" s="26">
        <v>34</v>
      </c>
      <c r="R112" s="26">
        <v>51</v>
      </c>
      <c r="S112">
        <v>1</v>
      </c>
      <c r="T112">
        <v>0</v>
      </c>
      <c r="U112">
        <v>0</v>
      </c>
      <c r="V112">
        <v>1</v>
      </c>
      <c r="W112">
        <v>1</v>
      </c>
      <c r="X112">
        <v>1</v>
      </c>
      <c r="Y112"/>
      <c r="Z112">
        <v>1</v>
      </c>
      <c r="AA112">
        <v>1</v>
      </c>
      <c r="AB112">
        <v>0</v>
      </c>
      <c r="AC112">
        <v>1</v>
      </c>
      <c r="AD112">
        <v>0</v>
      </c>
      <c r="AE112">
        <v>0</v>
      </c>
      <c r="AF112">
        <v>5</v>
      </c>
      <c r="AG112" s="9">
        <v>26</v>
      </c>
      <c r="AH112" s="9">
        <v>18</v>
      </c>
      <c r="AI112" s="9">
        <v>10</v>
      </c>
      <c r="AJ112" s="9">
        <v>8</v>
      </c>
      <c r="AK112" s="9">
        <v>6</v>
      </c>
      <c r="AL112" s="9">
        <v>0</v>
      </c>
      <c r="AM112" s="9">
        <v>4</v>
      </c>
      <c r="AN112" s="9">
        <v>3</v>
      </c>
      <c r="AO112" s="9">
        <v>1</v>
      </c>
      <c r="AP112" s="9">
        <v>4</v>
      </c>
      <c r="AQ112" s="8">
        <v>5</v>
      </c>
      <c r="AR112" s="8">
        <v>8</v>
      </c>
      <c r="AS112" s="8">
        <v>4</v>
      </c>
      <c r="AT112">
        <v>1</v>
      </c>
      <c r="AU112">
        <v>3</v>
      </c>
      <c r="AV112">
        <v>135</v>
      </c>
      <c r="AW112">
        <v>1</v>
      </c>
      <c r="AX112">
        <f t="shared" si="3"/>
        <v>65</v>
      </c>
      <c r="AY112" s="8">
        <v>0</v>
      </c>
      <c r="AZ112" s="8">
        <v>0</v>
      </c>
      <c r="BA112" s="8">
        <v>0</v>
      </c>
      <c r="BB112" s="9">
        <v>0</v>
      </c>
      <c r="BC112" s="27">
        <v>0</v>
      </c>
      <c r="BD112">
        <v>1</v>
      </c>
      <c r="BE112">
        <v>1</v>
      </c>
      <c r="BF112">
        <v>0</v>
      </c>
    </row>
    <row r="113" spans="1:58" x14ac:dyDescent="0.25">
      <c r="A113" s="9" t="s">
        <v>179</v>
      </c>
      <c r="B113" s="9" t="s">
        <v>180</v>
      </c>
      <c r="C113" s="9" t="s">
        <v>60</v>
      </c>
      <c r="D113" s="9" t="s">
        <v>61</v>
      </c>
      <c r="E113" s="9" t="s">
        <v>143</v>
      </c>
      <c r="F113" s="9" t="s">
        <v>144</v>
      </c>
      <c r="G113" s="9" t="s">
        <v>179</v>
      </c>
      <c r="H113" s="9" t="s">
        <v>180</v>
      </c>
      <c r="I113" s="9" t="s">
        <v>257</v>
      </c>
      <c r="J113" s="28" t="s">
        <v>258</v>
      </c>
      <c r="K113" s="9">
        <v>13</v>
      </c>
      <c r="L113" s="9">
        <v>13</v>
      </c>
      <c r="M113" s="9">
        <v>213</v>
      </c>
      <c r="N113" s="9">
        <v>247</v>
      </c>
      <c r="O113" s="9">
        <v>97</v>
      </c>
      <c r="P113" s="9">
        <v>557</v>
      </c>
      <c r="Q113" s="26">
        <v>32</v>
      </c>
      <c r="R113" s="26">
        <v>48</v>
      </c>
      <c r="S113">
        <v>1</v>
      </c>
      <c r="T113">
        <v>0</v>
      </c>
      <c r="U113">
        <v>0</v>
      </c>
      <c r="V113">
        <v>1</v>
      </c>
      <c r="W113">
        <v>1</v>
      </c>
      <c r="X113">
        <v>1</v>
      </c>
      <c r="Y113"/>
      <c r="Z113">
        <v>1</v>
      </c>
      <c r="AA113">
        <v>1</v>
      </c>
      <c r="AB113">
        <v>0</v>
      </c>
      <c r="AC113">
        <v>0</v>
      </c>
      <c r="AD113">
        <v>0</v>
      </c>
      <c r="AE113">
        <v>0</v>
      </c>
      <c r="AF113">
        <v>5</v>
      </c>
      <c r="AG113" s="9">
        <v>43</v>
      </c>
      <c r="AH113" s="9">
        <v>19</v>
      </c>
      <c r="AI113" s="9">
        <v>8</v>
      </c>
      <c r="AJ113" s="9">
        <v>11</v>
      </c>
      <c r="AK113" s="9">
        <v>6</v>
      </c>
      <c r="AL113" s="9">
        <v>0</v>
      </c>
      <c r="AM113" s="9">
        <v>2</v>
      </c>
      <c r="AN113" s="9">
        <v>5</v>
      </c>
      <c r="AO113" s="9">
        <v>0</v>
      </c>
      <c r="AP113" s="9">
        <v>6</v>
      </c>
      <c r="AQ113" s="8">
        <v>6</v>
      </c>
      <c r="AR113" s="8">
        <v>7</v>
      </c>
      <c r="AS113" s="8">
        <v>6</v>
      </c>
      <c r="AT113">
        <v>1</v>
      </c>
      <c r="AU113">
        <v>4</v>
      </c>
      <c r="AV113">
        <v>180</v>
      </c>
      <c r="AW113">
        <v>1</v>
      </c>
      <c r="AX113">
        <f t="shared" si="3"/>
        <v>65</v>
      </c>
      <c r="AY113" s="8">
        <v>1</v>
      </c>
      <c r="AZ113" s="8">
        <v>0</v>
      </c>
      <c r="BA113" s="8">
        <v>0</v>
      </c>
      <c r="BB113" s="9">
        <v>0</v>
      </c>
      <c r="BC113" s="27">
        <v>0</v>
      </c>
      <c r="BD113">
        <v>1</v>
      </c>
      <c r="BE113">
        <v>1</v>
      </c>
      <c r="BF113">
        <v>0</v>
      </c>
    </row>
    <row r="114" spans="1:58" x14ac:dyDescent="0.25">
      <c r="A114" s="9" t="s">
        <v>179</v>
      </c>
      <c r="B114" s="9" t="s">
        <v>180</v>
      </c>
      <c r="C114" s="9" t="s">
        <v>60</v>
      </c>
      <c r="D114" s="9" t="s">
        <v>61</v>
      </c>
      <c r="E114" s="9" t="s">
        <v>143</v>
      </c>
      <c r="F114" s="9" t="s">
        <v>144</v>
      </c>
      <c r="G114" s="9" t="s">
        <v>179</v>
      </c>
      <c r="H114" s="9" t="s">
        <v>180</v>
      </c>
      <c r="I114" s="9" t="s">
        <v>372</v>
      </c>
      <c r="J114" s="28" t="s">
        <v>373</v>
      </c>
      <c r="K114" s="9">
        <v>9</v>
      </c>
      <c r="L114" s="9">
        <v>9</v>
      </c>
      <c r="M114" s="9">
        <v>206</v>
      </c>
      <c r="N114" s="9">
        <v>257</v>
      </c>
      <c r="O114" s="9">
        <v>101</v>
      </c>
      <c r="P114" s="9">
        <v>564</v>
      </c>
      <c r="Q114" s="26">
        <v>32</v>
      </c>
      <c r="R114" s="26">
        <v>48</v>
      </c>
      <c r="S114">
        <v>1</v>
      </c>
      <c r="T114">
        <v>0</v>
      </c>
      <c r="U114">
        <v>0</v>
      </c>
      <c r="V114">
        <v>1</v>
      </c>
      <c r="W114">
        <v>1</v>
      </c>
      <c r="X114">
        <v>1</v>
      </c>
      <c r="Y114"/>
      <c r="Z114">
        <v>1</v>
      </c>
      <c r="AA114">
        <v>1</v>
      </c>
      <c r="AB114">
        <v>0</v>
      </c>
      <c r="AC114">
        <v>0</v>
      </c>
      <c r="AD114">
        <v>0</v>
      </c>
      <c r="AE114">
        <v>0</v>
      </c>
      <c r="AF114">
        <v>5</v>
      </c>
      <c r="AG114" s="9">
        <v>55</v>
      </c>
      <c r="AH114" s="9">
        <v>16</v>
      </c>
      <c r="AI114" s="9">
        <v>8</v>
      </c>
      <c r="AJ114" s="9">
        <v>7</v>
      </c>
      <c r="AK114" s="9">
        <v>2</v>
      </c>
      <c r="AL114" s="9">
        <v>0</v>
      </c>
      <c r="AM114" s="9">
        <v>6</v>
      </c>
      <c r="AN114" s="9">
        <v>2</v>
      </c>
      <c r="AO114" s="9">
        <v>1</v>
      </c>
      <c r="AP114" s="9">
        <v>4</v>
      </c>
      <c r="AQ114" s="8">
        <v>5</v>
      </c>
      <c r="AR114" s="8">
        <v>7</v>
      </c>
      <c r="AS114" s="8">
        <v>4</v>
      </c>
      <c r="AT114">
        <v>1</v>
      </c>
      <c r="AU114">
        <v>3</v>
      </c>
      <c r="AV114">
        <v>135</v>
      </c>
      <c r="AW114">
        <v>2</v>
      </c>
      <c r="AX114">
        <f t="shared" si="3"/>
        <v>130</v>
      </c>
      <c r="AY114" s="8">
        <v>0</v>
      </c>
      <c r="AZ114" s="8">
        <v>1</v>
      </c>
      <c r="BA114" s="8">
        <v>0</v>
      </c>
      <c r="BB114" s="9">
        <v>1</v>
      </c>
      <c r="BC114" s="27">
        <v>0</v>
      </c>
      <c r="BD114">
        <v>1</v>
      </c>
      <c r="BE114">
        <v>1</v>
      </c>
      <c r="BF114">
        <v>0</v>
      </c>
    </row>
    <row r="115" spans="1:58" x14ac:dyDescent="0.25">
      <c r="A115" s="9" t="s">
        <v>94</v>
      </c>
      <c r="B115" s="9" t="s">
        <v>121</v>
      </c>
      <c r="C115" s="9" t="s">
        <v>60</v>
      </c>
      <c r="D115" s="9" t="s">
        <v>61</v>
      </c>
      <c r="E115" s="9" t="s">
        <v>94</v>
      </c>
      <c r="F115" s="9" t="s">
        <v>95</v>
      </c>
      <c r="G115" s="9" t="s">
        <v>94</v>
      </c>
      <c r="H115" s="9" t="s">
        <v>121</v>
      </c>
      <c r="I115" s="9" t="s">
        <v>310</v>
      </c>
      <c r="J115" s="28" t="s">
        <v>311</v>
      </c>
      <c r="K115" s="9">
        <v>11</v>
      </c>
      <c r="L115" s="9">
        <v>11</v>
      </c>
      <c r="M115" s="9">
        <v>230</v>
      </c>
      <c r="N115" s="9">
        <v>263</v>
      </c>
      <c r="O115" s="9">
        <v>143</v>
      </c>
      <c r="P115" s="9">
        <v>636</v>
      </c>
      <c r="Q115" s="26">
        <v>32</v>
      </c>
      <c r="R115" s="26">
        <v>48</v>
      </c>
      <c r="S115">
        <v>1</v>
      </c>
      <c r="T115">
        <v>0</v>
      </c>
      <c r="U115">
        <v>0</v>
      </c>
      <c r="V115">
        <v>1</v>
      </c>
      <c r="W115">
        <v>1</v>
      </c>
      <c r="X115">
        <v>1</v>
      </c>
      <c r="Y115"/>
      <c r="Z115">
        <v>1</v>
      </c>
      <c r="AA115">
        <v>1</v>
      </c>
      <c r="AB115">
        <v>0</v>
      </c>
      <c r="AC115">
        <v>0</v>
      </c>
      <c r="AD115">
        <v>0</v>
      </c>
      <c r="AE115">
        <v>0</v>
      </c>
      <c r="AF115">
        <v>5</v>
      </c>
      <c r="AG115" s="9">
        <v>45</v>
      </c>
      <c r="AH115" s="9">
        <v>19</v>
      </c>
      <c r="AI115" s="9">
        <v>9</v>
      </c>
      <c r="AJ115" s="9">
        <v>9</v>
      </c>
      <c r="AK115" s="9">
        <v>4</v>
      </c>
      <c r="AL115" s="9">
        <v>0</v>
      </c>
      <c r="AM115" s="9">
        <v>5</v>
      </c>
      <c r="AN115" s="9">
        <v>2</v>
      </c>
      <c r="AO115" s="9">
        <v>0</v>
      </c>
      <c r="AP115" s="9">
        <v>7</v>
      </c>
      <c r="AQ115" s="8">
        <v>7</v>
      </c>
      <c r="AR115" s="8">
        <v>8</v>
      </c>
      <c r="AS115" s="8">
        <v>6</v>
      </c>
      <c r="AT115">
        <v>1</v>
      </c>
      <c r="AU115">
        <v>4</v>
      </c>
      <c r="AV115">
        <v>180</v>
      </c>
      <c r="AW115">
        <v>1</v>
      </c>
      <c r="AX115">
        <f t="shared" si="3"/>
        <v>65</v>
      </c>
      <c r="AY115" s="8">
        <v>1</v>
      </c>
      <c r="AZ115" s="8">
        <v>0</v>
      </c>
      <c r="BA115" s="8">
        <v>0</v>
      </c>
      <c r="BB115" s="9">
        <v>0</v>
      </c>
      <c r="BC115" s="27">
        <v>0</v>
      </c>
      <c r="BD115">
        <v>1</v>
      </c>
      <c r="BE115">
        <v>1</v>
      </c>
      <c r="BF115">
        <v>0</v>
      </c>
    </row>
    <row r="116" spans="1:58" x14ac:dyDescent="0.25">
      <c r="A116" s="9" t="s">
        <v>94</v>
      </c>
      <c r="B116" s="9" t="s">
        <v>121</v>
      </c>
      <c r="C116" s="9" t="s">
        <v>60</v>
      </c>
      <c r="D116" s="9" t="s">
        <v>61</v>
      </c>
      <c r="E116" s="9" t="s">
        <v>94</v>
      </c>
      <c r="F116" s="9" t="s">
        <v>95</v>
      </c>
      <c r="G116" s="9" t="s">
        <v>122</v>
      </c>
      <c r="H116" s="9" t="s">
        <v>123</v>
      </c>
      <c r="I116" s="9" t="s">
        <v>124</v>
      </c>
      <c r="J116" s="28" t="s">
        <v>125</v>
      </c>
      <c r="K116" s="9">
        <v>12</v>
      </c>
      <c r="L116" s="9">
        <v>12</v>
      </c>
      <c r="M116" s="9">
        <v>265</v>
      </c>
      <c r="N116" s="9">
        <v>229</v>
      </c>
      <c r="O116" s="9">
        <v>193</v>
      </c>
      <c r="P116" s="9">
        <v>687</v>
      </c>
      <c r="Q116" s="26">
        <v>32</v>
      </c>
      <c r="R116" s="26">
        <v>48</v>
      </c>
      <c r="S116">
        <v>1</v>
      </c>
      <c r="T116">
        <v>0</v>
      </c>
      <c r="U116">
        <v>0</v>
      </c>
      <c r="V116">
        <v>1</v>
      </c>
      <c r="W116">
        <v>1</v>
      </c>
      <c r="X116">
        <v>1</v>
      </c>
      <c r="Y116"/>
      <c r="Z116">
        <v>1</v>
      </c>
      <c r="AA116">
        <v>1</v>
      </c>
      <c r="AB116">
        <v>0</v>
      </c>
      <c r="AC116">
        <v>0</v>
      </c>
      <c r="AD116">
        <v>0</v>
      </c>
      <c r="AE116">
        <v>0</v>
      </c>
      <c r="AF116">
        <v>5</v>
      </c>
      <c r="AG116" s="9">
        <v>39</v>
      </c>
      <c r="AH116" s="9">
        <v>20</v>
      </c>
      <c r="AI116" s="9">
        <v>11</v>
      </c>
      <c r="AJ116" s="9">
        <v>9</v>
      </c>
      <c r="AK116" s="9">
        <v>3</v>
      </c>
      <c r="AL116" s="9">
        <v>0</v>
      </c>
      <c r="AM116" s="9">
        <v>8</v>
      </c>
      <c r="AN116" s="9">
        <v>1</v>
      </c>
      <c r="AO116" s="9">
        <v>2</v>
      </c>
      <c r="AP116" s="9">
        <v>6</v>
      </c>
      <c r="AQ116" s="8">
        <v>8</v>
      </c>
      <c r="AR116" s="8">
        <v>12</v>
      </c>
      <c r="AS116" s="8">
        <v>7</v>
      </c>
      <c r="AT116">
        <v>1</v>
      </c>
      <c r="AU116">
        <v>3</v>
      </c>
      <c r="AV116">
        <v>135</v>
      </c>
      <c r="AW116">
        <v>2</v>
      </c>
      <c r="AX116">
        <f t="shared" si="3"/>
        <v>130</v>
      </c>
      <c r="AY116" s="8">
        <v>0</v>
      </c>
      <c r="AZ116" s="8">
        <v>0</v>
      </c>
      <c r="BA116" s="8">
        <v>0</v>
      </c>
      <c r="BB116" s="9">
        <v>4</v>
      </c>
      <c r="BC116" s="27">
        <v>0</v>
      </c>
      <c r="BD116">
        <v>1</v>
      </c>
      <c r="BE116">
        <v>1</v>
      </c>
      <c r="BF116">
        <v>0</v>
      </c>
    </row>
    <row r="117" spans="1:58" x14ac:dyDescent="0.25">
      <c r="A117" s="9" t="s">
        <v>94</v>
      </c>
      <c r="B117" s="9" t="s">
        <v>121</v>
      </c>
      <c r="C117" s="9" t="s">
        <v>60</v>
      </c>
      <c r="D117" s="9" t="s">
        <v>61</v>
      </c>
      <c r="E117" s="9" t="s">
        <v>94</v>
      </c>
      <c r="F117" s="9" t="s">
        <v>95</v>
      </c>
      <c r="G117" s="9" t="s">
        <v>94</v>
      </c>
      <c r="H117" s="9" t="s">
        <v>121</v>
      </c>
      <c r="I117" s="9" t="s">
        <v>354</v>
      </c>
      <c r="J117" s="28" t="s">
        <v>355</v>
      </c>
      <c r="K117" s="9">
        <v>10</v>
      </c>
      <c r="L117" s="9">
        <v>10</v>
      </c>
      <c r="M117" s="9">
        <v>224</v>
      </c>
      <c r="N117" s="9">
        <v>308</v>
      </c>
      <c r="O117" s="9">
        <v>109</v>
      </c>
      <c r="P117" s="9">
        <v>641</v>
      </c>
      <c r="Q117" s="26">
        <v>32</v>
      </c>
      <c r="R117" s="26">
        <v>48</v>
      </c>
      <c r="S117">
        <v>1</v>
      </c>
      <c r="T117">
        <v>0</v>
      </c>
      <c r="U117">
        <v>0</v>
      </c>
      <c r="V117">
        <v>1</v>
      </c>
      <c r="W117">
        <v>1</v>
      </c>
      <c r="X117">
        <v>1</v>
      </c>
      <c r="Y117"/>
      <c r="Z117">
        <v>1</v>
      </c>
      <c r="AA117">
        <v>1</v>
      </c>
      <c r="AB117">
        <v>0</v>
      </c>
      <c r="AC117">
        <v>0</v>
      </c>
      <c r="AD117">
        <v>0</v>
      </c>
      <c r="AE117">
        <v>0</v>
      </c>
      <c r="AF117">
        <v>5</v>
      </c>
      <c r="AG117" s="9">
        <v>35</v>
      </c>
      <c r="AH117" s="9">
        <v>15</v>
      </c>
      <c r="AI117" s="9">
        <v>8</v>
      </c>
      <c r="AJ117" s="9">
        <v>7</v>
      </c>
      <c r="AK117" s="9">
        <v>3</v>
      </c>
      <c r="AL117" s="9">
        <v>0</v>
      </c>
      <c r="AM117" s="9">
        <v>5</v>
      </c>
      <c r="AN117" s="9">
        <v>0</v>
      </c>
      <c r="AO117" s="9">
        <v>0</v>
      </c>
      <c r="AP117" s="9">
        <v>7</v>
      </c>
      <c r="AQ117" s="8">
        <v>7</v>
      </c>
      <c r="AR117" s="8">
        <v>6</v>
      </c>
      <c r="AS117" s="8">
        <v>7</v>
      </c>
      <c r="AT117">
        <v>1</v>
      </c>
      <c r="AU117">
        <v>3</v>
      </c>
      <c r="AV117">
        <v>135</v>
      </c>
      <c r="AW117">
        <v>2</v>
      </c>
      <c r="AX117">
        <f t="shared" si="3"/>
        <v>130</v>
      </c>
      <c r="AY117" s="8">
        <v>0</v>
      </c>
      <c r="AZ117" s="8">
        <v>0</v>
      </c>
      <c r="BA117" s="8">
        <v>0</v>
      </c>
      <c r="BB117" s="9">
        <v>1</v>
      </c>
      <c r="BC117" s="27">
        <v>0</v>
      </c>
      <c r="BD117">
        <v>1</v>
      </c>
      <c r="BE117">
        <v>1</v>
      </c>
      <c r="BF117">
        <v>0</v>
      </c>
    </row>
    <row r="118" spans="1:58" x14ac:dyDescent="0.25">
      <c r="A118" s="9" t="s">
        <v>94</v>
      </c>
      <c r="B118" s="9" t="s">
        <v>121</v>
      </c>
      <c r="C118" s="9" t="s">
        <v>60</v>
      </c>
      <c r="D118" s="9" t="s">
        <v>61</v>
      </c>
      <c r="E118" s="9" t="s">
        <v>94</v>
      </c>
      <c r="F118" s="9" t="s">
        <v>95</v>
      </c>
      <c r="G118" s="9" t="s">
        <v>94</v>
      </c>
      <c r="H118" s="9" t="s">
        <v>121</v>
      </c>
      <c r="I118" s="9" t="s">
        <v>388</v>
      </c>
      <c r="J118" s="28" t="s">
        <v>389</v>
      </c>
      <c r="K118" s="9">
        <v>8</v>
      </c>
      <c r="L118" s="9">
        <v>8</v>
      </c>
      <c r="M118" s="9">
        <v>199</v>
      </c>
      <c r="N118" s="9">
        <v>293</v>
      </c>
      <c r="O118" s="9">
        <v>168</v>
      </c>
      <c r="P118" s="9">
        <v>660</v>
      </c>
      <c r="Q118" s="26">
        <v>34</v>
      </c>
      <c r="R118" s="26">
        <v>51</v>
      </c>
      <c r="S118">
        <v>1</v>
      </c>
      <c r="T118">
        <v>0</v>
      </c>
      <c r="U118">
        <v>0</v>
      </c>
      <c r="V118">
        <v>1</v>
      </c>
      <c r="W118">
        <v>1</v>
      </c>
      <c r="X118">
        <v>1</v>
      </c>
      <c r="Y118"/>
      <c r="Z118">
        <v>1</v>
      </c>
      <c r="AA118">
        <v>1</v>
      </c>
      <c r="AB118">
        <v>0</v>
      </c>
      <c r="AC118">
        <v>0</v>
      </c>
      <c r="AD118">
        <v>0</v>
      </c>
      <c r="AE118">
        <v>0</v>
      </c>
      <c r="AF118">
        <v>5</v>
      </c>
      <c r="AG118" s="9">
        <v>22</v>
      </c>
      <c r="AH118" s="9">
        <v>13</v>
      </c>
      <c r="AI118" s="9">
        <v>6</v>
      </c>
      <c r="AJ118" s="9">
        <v>6</v>
      </c>
      <c r="AK118" s="9">
        <v>1</v>
      </c>
      <c r="AL118" s="9">
        <v>0</v>
      </c>
      <c r="AM118" s="9">
        <v>5</v>
      </c>
      <c r="AN118" s="9">
        <v>0</v>
      </c>
      <c r="AO118" s="9">
        <v>0</v>
      </c>
      <c r="AP118" s="9">
        <v>6</v>
      </c>
      <c r="AQ118" s="8">
        <v>6</v>
      </c>
      <c r="AR118" s="8">
        <v>6</v>
      </c>
      <c r="AS118" s="8">
        <v>6</v>
      </c>
      <c r="AT118">
        <v>1</v>
      </c>
      <c r="AU118">
        <v>3</v>
      </c>
      <c r="AV118">
        <v>135</v>
      </c>
      <c r="AW118">
        <v>1</v>
      </c>
      <c r="AX118">
        <f t="shared" si="3"/>
        <v>65</v>
      </c>
      <c r="AY118" s="8">
        <v>0</v>
      </c>
      <c r="AZ118" s="8">
        <v>0</v>
      </c>
      <c r="BA118" s="8">
        <v>0</v>
      </c>
      <c r="BB118" s="9">
        <v>1</v>
      </c>
      <c r="BC118" s="27">
        <v>0</v>
      </c>
      <c r="BD118">
        <v>1</v>
      </c>
      <c r="BE118">
        <v>1</v>
      </c>
      <c r="BF118">
        <v>0</v>
      </c>
    </row>
    <row r="119" spans="1:58" x14ac:dyDescent="0.25">
      <c r="A119" s="9" t="s">
        <v>147</v>
      </c>
      <c r="B119" s="9" t="s">
        <v>148</v>
      </c>
      <c r="C119" s="9" t="s">
        <v>60</v>
      </c>
      <c r="D119" s="9" t="s">
        <v>61</v>
      </c>
      <c r="E119" s="9" t="s">
        <v>94</v>
      </c>
      <c r="F119" s="9" t="s">
        <v>95</v>
      </c>
      <c r="G119" s="9" t="s">
        <v>147</v>
      </c>
      <c r="H119" s="9" t="s">
        <v>148</v>
      </c>
      <c r="I119" s="9" t="s">
        <v>149</v>
      </c>
      <c r="J119" s="28" t="s">
        <v>150</v>
      </c>
      <c r="K119" s="9">
        <v>11</v>
      </c>
      <c r="L119" s="9">
        <v>11</v>
      </c>
      <c r="M119" s="9">
        <v>285</v>
      </c>
      <c r="N119" s="9">
        <v>273</v>
      </c>
      <c r="O119" s="9">
        <v>137</v>
      </c>
      <c r="P119" s="9">
        <v>695</v>
      </c>
      <c r="Q119" s="26">
        <v>32</v>
      </c>
      <c r="R119" s="26">
        <v>48</v>
      </c>
      <c r="S119">
        <v>1</v>
      </c>
      <c r="T119">
        <v>0</v>
      </c>
      <c r="U119">
        <v>0</v>
      </c>
      <c r="V119">
        <v>1</v>
      </c>
      <c r="W119">
        <v>1</v>
      </c>
      <c r="X119">
        <v>1</v>
      </c>
      <c r="Y119"/>
      <c r="Z119">
        <v>1</v>
      </c>
      <c r="AA119">
        <v>1</v>
      </c>
      <c r="AB119">
        <v>0</v>
      </c>
      <c r="AC119">
        <v>0</v>
      </c>
      <c r="AD119">
        <v>0</v>
      </c>
      <c r="AE119">
        <v>0</v>
      </c>
      <c r="AF119">
        <v>5</v>
      </c>
      <c r="AG119" s="9">
        <v>64</v>
      </c>
      <c r="AH119" s="9">
        <v>22</v>
      </c>
      <c r="AI119" s="9">
        <v>13</v>
      </c>
      <c r="AJ119" s="9">
        <v>8</v>
      </c>
      <c r="AK119" s="9">
        <v>5</v>
      </c>
      <c r="AL119" s="9">
        <v>0</v>
      </c>
      <c r="AM119" s="9">
        <v>8</v>
      </c>
      <c r="AN119" s="9">
        <v>4</v>
      </c>
      <c r="AO119" s="9">
        <v>2</v>
      </c>
      <c r="AP119" s="9">
        <v>2</v>
      </c>
      <c r="AQ119" s="8">
        <v>4</v>
      </c>
      <c r="AR119" s="8">
        <v>7</v>
      </c>
      <c r="AS119" s="8">
        <v>3</v>
      </c>
      <c r="AT119">
        <v>1</v>
      </c>
      <c r="AU119">
        <v>3</v>
      </c>
      <c r="AV119">
        <v>135</v>
      </c>
      <c r="AW119">
        <v>2</v>
      </c>
      <c r="AX119">
        <f t="shared" si="3"/>
        <v>130</v>
      </c>
      <c r="AY119" s="8">
        <v>0</v>
      </c>
      <c r="AZ119" s="8">
        <v>0</v>
      </c>
      <c r="BA119" s="8">
        <v>0</v>
      </c>
      <c r="BB119" s="9">
        <v>0</v>
      </c>
      <c r="BC119" s="27">
        <v>0</v>
      </c>
      <c r="BD119">
        <v>1</v>
      </c>
      <c r="BE119">
        <v>1</v>
      </c>
      <c r="BF119">
        <v>0</v>
      </c>
    </row>
    <row r="120" spans="1:58" x14ac:dyDescent="0.25">
      <c r="A120" s="9" t="s">
        <v>147</v>
      </c>
      <c r="B120" s="9" t="s">
        <v>148</v>
      </c>
      <c r="C120" s="9" t="s">
        <v>60</v>
      </c>
      <c r="D120" s="9" t="s">
        <v>61</v>
      </c>
      <c r="E120" s="9" t="s">
        <v>94</v>
      </c>
      <c r="F120" s="9" t="s">
        <v>95</v>
      </c>
      <c r="G120" s="9" t="s">
        <v>147</v>
      </c>
      <c r="H120" s="9" t="s">
        <v>148</v>
      </c>
      <c r="I120" s="9" t="s">
        <v>286</v>
      </c>
      <c r="J120" s="28" t="s">
        <v>287</v>
      </c>
      <c r="K120" s="9">
        <v>9</v>
      </c>
      <c r="L120" s="9">
        <v>9</v>
      </c>
      <c r="M120" s="9">
        <v>234</v>
      </c>
      <c r="N120" s="9">
        <v>280</v>
      </c>
      <c r="O120" s="9">
        <v>122</v>
      </c>
      <c r="P120" s="9">
        <v>636</v>
      </c>
      <c r="Q120" s="26">
        <v>32</v>
      </c>
      <c r="R120" s="26">
        <v>48</v>
      </c>
      <c r="S120">
        <v>1</v>
      </c>
      <c r="T120">
        <v>0</v>
      </c>
      <c r="U120">
        <v>0</v>
      </c>
      <c r="V120">
        <v>1</v>
      </c>
      <c r="W120">
        <v>1</v>
      </c>
      <c r="X120">
        <v>1</v>
      </c>
      <c r="Y120"/>
      <c r="Z120">
        <v>1</v>
      </c>
      <c r="AA120">
        <v>1</v>
      </c>
      <c r="AB120">
        <v>0</v>
      </c>
      <c r="AC120">
        <v>0</v>
      </c>
      <c r="AD120">
        <v>0</v>
      </c>
      <c r="AE120">
        <v>0</v>
      </c>
      <c r="AF120">
        <v>5</v>
      </c>
      <c r="AG120" s="9">
        <v>49</v>
      </c>
      <c r="AH120" s="9">
        <v>17</v>
      </c>
      <c r="AI120" s="9">
        <v>10</v>
      </c>
      <c r="AJ120" s="9">
        <v>7</v>
      </c>
      <c r="AK120" s="9">
        <v>4</v>
      </c>
      <c r="AL120" s="9">
        <v>0</v>
      </c>
      <c r="AM120" s="9">
        <v>6</v>
      </c>
      <c r="AN120" s="9">
        <v>1</v>
      </c>
      <c r="AO120" s="9">
        <v>1</v>
      </c>
      <c r="AP120" s="9">
        <v>5</v>
      </c>
      <c r="AQ120" s="8">
        <v>6</v>
      </c>
      <c r="AR120" s="8">
        <v>6</v>
      </c>
      <c r="AS120" s="8">
        <v>5</v>
      </c>
      <c r="AT120">
        <v>1</v>
      </c>
      <c r="AU120">
        <v>4</v>
      </c>
      <c r="AV120">
        <v>180</v>
      </c>
      <c r="AW120">
        <v>1</v>
      </c>
      <c r="AX120">
        <f t="shared" si="3"/>
        <v>65</v>
      </c>
      <c r="AY120" s="8">
        <v>0</v>
      </c>
      <c r="AZ120" s="8">
        <v>0</v>
      </c>
      <c r="BA120" s="8">
        <v>0</v>
      </c>
      <c r="BB120" s="9">
        <v>0</v>
      </c>
      <c r="BC120" s="27">
        <v>0</v>
      </c>
      <c r="BD120">
        <v>1</v>
      </c>
      <c r="BE120">
        <v>1</v>
      </c>
      <c r="BF120">
        <v>0</v>
      </c>
    </row>
    <row r="121" spans="1:58" x14ac:dyDescent="0.25">
      <c r="A121" s="9" t="s">
        <v>65</v>
      </c>
      <c r="B121" s="9" t="s">
        <v>66</v>
      </c>
      <c r="C121" s="9" t="s">
        <v>60</v>
      </c>
      <c r="D121" s="9" t="s">
        <v>61</v>
      </c>
      <c r="E121" s="9" t="s">
        <v>67</v>
      </c>
      <c r="F121" s="9" t="s">
        <v>68</v>
      </c>
      <c r="G121" s="9" t="s">
        <v>67</v>
      </c>
      <c r="H121" s="9" t="s">
        <v>176</v>
      </c>
      <c r="I121" s="9" t="s">
        <v>426</v>
      </c>
      <c r="J121" s="28" t="s">
        <v>427</v>
      </c>
      <c r="K121" s="9">
        <v>12</v>
      </c>
      <c r="L121" s="9">
        <v>12</v>
      </c>
      <c r="M121" s="9">
        <v>206</v>
      </c>
      <c r="N121" s="9">
        <v>198</v>
      </c>
      <c r="O121" s="9">
        <v>216</v>
      </c>
      <c r="P121" s="9">
        <v>620</v>
      </c>
      <c r="Q121" s="26">
        <v>32</v>
      </c>
      <c r="R121" s="26">
        <v>48</v>
      </c>
      <c r="S121">
        <v>1</v>
      </c>
      <c r="T121">
        <v>0</v>
      </c>
      <c r="U121">
        <v>0</v>
      </c>
      <c r="V121">
        <v>1</v>
      </c>
      <c r="W121">
        <v>1</v>
      </c>
      <c r="X121">
        <v>1</v>
      </c>
      <c r="Y121"/>
      <c r="Z121">
        <v>1</v>
      </c>
      <c r="AA121">
        <v>1</v>
      </c>
      <c r="AB121">
        <v>0</v>
      </c>
      <c r="AC121">
        <v>0</v>
      </c>
      <c r="AD121">
        <v>0</v>
      </c>
      <c r="AE121">
        <v>0</v>
      </c>
      <c r="AF121">
        <v>5</v>
      </c>
      <c r="AG121" s="9">
        <v>44</v>
      </c>
      <c r="AH121" s="9">
        <v>20</v>
      </c>
      <c r="AI121" s="9">
        <v>11</v>
      </c>
      <c r="AJ121" s="9">
        <v>9</v>
      </c>
      <c r="AK121" s="9">
        <v>2</v>
      </c>
      <c r="AL121" s="9">
        <v>0</v>
      </c>
      <c r="AM121" s="9">
        <v>9</v>
      </c>
      <c r="AN121" s="9">
        <v>4</v>
      </c>
      <c r="AO121" s="9">
        <v>0</v>
      </c>
      <c r="AP121" s="9">
        <v>5</v>
      </c>
      <c r="AQ121" s="8">
        <v>5</v>
      </c>
      <c r="AR121" s="8">
        <v>10</v>
      </c>
      <c r="AS121" s="8">
        <v>4</v>
      </c>
      <c r="AT121">
        <v>1</v>
      </c>
      <c r="AU121">
        <v>4</v>
      </c>
      <c r="AV121">
        <v>180</v>
      </c>
      <c r="AW121">
        <v>1</v>
      </c>
      <c r="AX121">
        <f t="shared" si="3"/>
        <v>65</v>
      </c>
      <c r="AY121" s="8">
        <v>0</v>
      </c>
      <c r="AZ121" s="8">
        <v>0</v>
      </c>
      <c r="BA121" s="8">
        <v>0</v>
      </c>
      <c r="BB121" s="9">
        <v>1</v>
      </c>
      <c r="BC121" s="27">
        <v>0</v>
      </c>
      <c r="BD121">
        <v>1</v>
      </c>
      <c r="BE121">
        <v>1</v>
      </c>
      <c r="BF121">
        <v>0</v>
      </c>
    </row>
    <row r="122" spans="1:58" x14ac:dyDescent="0.25">
      <c r="A122" s="9" t="s">
        <v>65</v>
      </c>
      <c r="B122" s="9" t="s">
        <v>66</v>
      </c>
      <c r="C122" s="9" t="s">
        <v>60</v>
      </c>
      <c r="D122" s="9" t="s">
        <v>61</v>
      </c>
      <c r="E122" s="9" t="s">
        <v>67</v>
      </c>
      <c r="F122" s="9" t="s">
        <v>68</v>
      </c>
      <c r="G122" s="9" t="s">
        <v>65</v>
      </c>
      <c r="H122" s="9" t="s">
        <v>66</v>
      </c>
      <c r="I122" s="9" t="s">
        <v>390</v>
      </c>
      <c r="J122" s="28" t="s">
        <v>391</v>
      </c>
      <c r="K122" s="9">
        <v>11</v>
      </c>
      <c r="L122" s="9">
        <v>11</v>
      </c>
      <c r="M122" s="9">
        <v>221</v>
      </c>
      <c r="N122" s="9">
        <v>250</v>
      </c>
      <c r="O122" s="9">
        <v>240</v>
      </c>
      <c r="P122" s="9">
        <v>711</v>
      </c>
      <c r="Q122" s="26">
        <v>36</v>
      </c>
      <c r="R122" s="26">
        <v>54</v>
      </c>
      <c r="S122">
        <v>1</v>
      </c>
      <c r="T122">
        <v>0</v>
      </c>
      <c r="U122">
        <v>0</v>
      </c>
      <c r="V122">
        <v>1</v>
      </c>
      <c r="W122">
        <v>1</v>
      </c>
      <c r="X122">
        <v>1</v>
      </c>
      <c r="Y122"/>
      <c r="Z122">
        <v>1</v>
      </c>
      <c r="AA122">
        <v>1</v>
      </c>
      <c r="AB122">
        <v>0</v>
      </c>
      <c r="AC122">
        <v>0</v>
      </c>
      <c r="AD122">
        <v>0</v>
      </c>
      <c r="AE122">
        <v>0</v>
      </c>
      <c r="AF122">
        <v>5</v>
      </c>
      <c r="AG122" s="9">
        <v>46</v>
      </c>
      <c r="AH122" s="9">
        <v>18</v>
      </c>
      <c r="AI122" s="9">
        <v>10</v>
      </c>
      <c r="AJ122" s="9">
        <v>8</v>
      </c>
      <c r="AK122" s="9">
        <v>3</v>
      </c>
      <c r="AL122" s="9">
        <v>0</v>
      </c>
      <c r="AM122" s="9">
        <v>7</v>
      </c>
      <c r="AN122" s="9">
        <v>4</v>
      </c>
      <c r="AO122" s="9">
        <v>0</v>
      </c>
      <c r="AP122" s="9">
        <v>4</v>
      </c>
      <c r="AQ122" s="8">
        <v>4</v>
      </c>
      <c r="AR122" s="8">
        <v>10</v>
      </c>
      <c r="AS122" s="8">
        <v>3</v>
      </c>
      <c r="AT122">
        <v>1</v>
      </c>
      <c r="AU122">
        <v>3</v>
      </c>
      <c r="AV122">
        <v>135</v>
      </c>
      <c r="AW122">
        <v>1</v>
      </c>
      <c r="AX122">
        <f t="shared" si="3"/>
        <v>65</v>
      </c>
      <c r="AY122" s="8">
        <v>0</v>
      </c>
      <c r="AZ122" s="8">
        <v>0</v>
      </c>
      <c r="BA122" s="8">
        <v>0</v>
      </c>
      <c r="BB122" s="9">
        <v>1</v>
      </c>
      <c r="BC122" s="27">
        <v>0</v>
      </c>
      <c r="BD122">
        <v>1</v>
      </c>
      <c r="BE122">
        <v>1</v>
      </c>
      <c r="BF122">
        <v>0</v>
      </c>
    </row>
    <row r="123" spans="1:58" x14ac:dyDescent="0.25">
      <c r="A123" s="9" t="s">
        <v>65</v>
      </c>
      <c r="B123" s="9" t="s">
        <v>66</v>
      </c>
      <c r="C123" s="9" t="s">
        <v>60</v>
      </c>
      <c r="D123" s="9" t="s">
        <v>61</v>
      </c>
      <c r="E123" s="9" t="s">
        <v>67</v>
      </c>
      <c r="F123" s="9" t="s">
        <v>68</v>
      </c>
      <c r="G123" s="9" t="s">
        <v>65</v>
      </c>
      <c r="H123" s="9" t="s">
        <v>66</v>
      </c>
      <c r="I123" s="9" t="s">
        <v>128</v>
      </c>
      <c r="J123" s="28" t="s">
        <v>129</v>
      </c>
      <c r="K123" s="9">
        <v>9</v>
      </c>
      <c r="L123" s="9">
        <v>9</v>
      </c>
      <c r="M123" s="9">
        <v>219</v>
      </c>
      <c r="N123" s="9">
        <v>305</v>
      </c>
      <c r="O123" s="9">
        <v>171</v>
      </c>
      <c r="P123" s="9">
        <v>695</v>
      </c>
      <c r="Q123" s="26">
        <v>35</v>
      </c>
      <c r="R123" s="26">
        <v>53</v>
      </c>
      <c r="S123">
        <v>1</v>
      </c>
      <c r="T123">
        <v>0</v>
      </c>
      <c r="U123">
        <v>0</v>
      </c>
      <c r="V123">
        <v>1</v>
      </c>
      <c r="W123">
        <v>1</v>
      </c>
      <c r="X123">
        <v>1</v>
      </c>
      <c r="Y123"/>
      <c r="Z123">
        <v>1</v>
      </c>
      <c r="AA123">
        <v>1</v>
      </c>
      <c r="AB123">
        <v>0</v>
      </c>
      <c r="AC123">
        <v>0</v>
      </c>
      <c r="AD123">
        <v>0</v>
      </c>
      <c r="AE123">
        <v>0</v>
      </c>
      <c r="AF123">
        <v>5</v>
      </c>
      <c r="AG123" s="9">
        <v>33</v>
      </c>
      <c r="AH123" s="9">
        <v>14</v>
      </c>
      <c r="AI123" s="9">
        <v>10</v>
      </c>
      <c r="AJ123" s="9">
        <v>4</v>
      </c>
      <c r="AK123" s="9">
        <v>4</v>
      </c>
      <c r="AL123" s="9">
        <v>0</v>
      </c>
      <c r="AM123" s="9">
        <v>6</v>
      </c>
      <c r="AN123" s="9">
        <v>1</v>
      </c>
      <c r="AO123" s="9">
        <v>0</v>
      </c>
      <c r="AP123" s="9">
        <v>3</v>
      </c>
      <c r="AQ123" s="8">
        <v>3</v>
      </c>
      <c r="AR123" s="8">
        <v>8</v>
      </c>
      <c r="AS123" s="8">
        <v>2</v>
      </c>
      <c r="AT123">
        <v>1</v>
      </c>
      <c r="AU123">
        <v>3</v>
      </c>
      <c r="AV123">
        <v>135</v>
      </c>
      <c r="AW123">
        <v>1</v>
      </c>
      <c r="AX123">
        <f t="shared" si="3"/>
        <v>65</v>
      </c>
      <c r="AY123" s="8">
        <v>0</v>
      </c>
      <c r="AZ123" s="8">
        <v>0</v>
      </c>
      <c r="BA123" s="8">
        <v>0</v>
      </c>
      <c r="BB123" s="9">
        <v>0</v>
      </c>
      <c r="BC123" s="27">
        <v>0</v>
      </c>
      <c r="BD123">
        <v>1</v>
      </c>
      <c r="BE123">
        <v>1</v>
      </c>
      <c r="BF123">
        <v>0</v>
      </c>
    </row>
    <row r="124" spans="1:58" x14ac:dyDescent="0.25">
      <c r="A124" s="8" t="s">
        <v>65</v>
      </c>
      <c r="B124" s="8" t="s">
        <v>66</v>
      </c>
      <c r="C124" s="8" t="s">
        <v>60</v>
      </c>
      <c r="D124" s="8" t="s">
        <v>61</v>
      </c>
      <c r="E124" s="8" t="s">
        <v>67</v>
      </c>
      <c r="F124" s="8" t="s">
        <v>68</v>
      </c>
      <c r="G124" s="8" t="s">
        <v>65</v>
      </c>
      <c r="H124" s="8" t="s">
        <v>66</v>
      </c>
      <c r="I124" s="8" t="s">
        <v>69</v>
      </c>
      <c r="J124" s="29" t="s">
        <v>70</v>
      </c>
      <c r="K124" s="8">
        <v>10</v>
      </c>
      <c r="L124" s="8">
        <v>10</v>
      </c>
      <c r="M124" s="8">
        <v>222</v>
      </c>
      <c r="N124" s="8">
        <v>247</v>
      </c>
      <c r="O124" s="8">
        <v>252</v>
      </c>
      <c r="P124" s="8">
        <v>721</v>
      </c>
      <c r="Q124" s="26">
        <v>37</v>
      </c>
      <c r="R124" s="26">
        <v>56</v>
      </c>
      <c r="S124">
        <v>1</v>
      </c>
      <c r="T124">
        <v>0</v>
      </c>
      <c r="U124">
        <v>0</v>
      </c>
      <c r="V124">
        <v>1</v>
      </c>
      <c r="W124">
        <v>1</v>
      </c>
      <c r="X124">
        <v>1</v>
      </c>
      <c r="Y124"/>
      <c r="Z124">
        <v>1</v>
      </c>
      <c r="AA124">
        <v>1</v>
      </c>
      <c r="AB124">
        <v>0</v>
      </c>
      <c r="AC124">
        <v>0</v>
      </c>
      <c r="AD124">
        <v>0</v>
      </c>
      <c r="AE124">
        <v>0</v>
      </c>
      <c r="AF124">
        <v>5</v>
      </c>
      <c r="AG124" s="8">
        <v>26</v>
      </c>
      <c r="AH124" s="8">
        <v>17</v>
      </c>
      <c r="AI124" s="8">
        <v>11</v>
      </c>
      <c r="AJ124" s="8">
        <v>6</v>
      </c>
      <c r="AK124" s="8">
        <v>3</v>
      </c>
      <c r="AL124" s="8">
        <v>0</v>
      </c>
      <c r="AM124" s="8">
        <v>8</v>
      </c>
      <c r="AN124" s="8">
        <v>0</v>
      </c>
      <c r="AO124" s="8">
        <v>1</v>
      </c>
      <c r="AP124" s="8">
        <v>5</v>
      </c>
      <c r="AQ124" s="8">
        <v>6</v>
      </c>
      <c r="AR124" s="8">
        <v>9</v>
      </c>
      <c r="AS124" s="8">
        <v>6</v>
      </c>
      <c r="AT124">
        <v>1</v>
      </c>
      <c r="AU124">
        <v>3</v>
      </c>
      <c r="AV124">
        <v>135</v>
      </c>
      <c r="AW124">
        <v>1</v>
      </c>
      <c r="AX124">
        <f t="shared" si="3"/>
        <v>65</v>
      </c>
      <c r="AY124" s="8">
        <v>0</v>
      </c>
      <c r="AZ124" s="8">
        <v>0</v>
      </c>
      <c r="BA124" s="8">
        <v>1</v>
      </c>
      <c r="BB124" s="8">
        <v>0</v>
      </c>
      <c r="BC124" s="27">
        <v>0</v>
      </c>
      <c r="BD124">
        <v>1</v>
      </c>
      <c r="BE124">
        <v>1</v>
      </c>
      <c r="BF124">
        <v>0</v>
      </c>
    </row>
    <row r="125" spans="1:58" x14ac:dyDescent="0.25">
      <c r="A125" s="9" t="s">
        <v>133</v>
      </c>
      <c r="B125" s="9" t="s">
        <v>134</v>
      </c>
      <c r="C125" s="9" t="s">
        <v>60</v>
      </c>
      <c r="D125" s="9" t="s">
        <v>61</v>
      </c>
      <c r="E125" s="9" t="s">
        <v>67</v>
      </c>
      <c r="F125" s="9" t="s">
        <v>68</v>
      </c>
      <c r="G125" s="9" t="s">
        <v>133</v>
      </c>
      <c r="H125" s="9" t="s">
        <v>134</v>
      </c>
      <c r="I125" s="9" t="s">
        <v>237</v>
      </c>
      <c r="J125" s="28" t="s">
        <v>238</v>
      </c>
      <c r="K125" s="9">
        <v>11</v>
      </c>
      <c r="L125" s="9">
        <v>11</v>
      </c>
      <c r="M125" s="9">
        <v>241</v>
      </c>
      <c r="N125" s="9">
        <v>286</v>
      </c>
      <c r="O125" s="9">
        <v>185</v>
      </c>
      <c r="P125" s="9">
        <v>712</v>
      </c>
      <c r="Q125" s="26">
        <v>35</v>
      </c>
      <c r="R125" s="26">
        <v>53</v>
      </c>
      <c r="S125">
        <v>1</v>
      </c>
      <c r="T125">
        <v>0</v>
      </c>
      <c r="U125">
        <v>0</v>
      </c>
      <c r="V125">
        <v>1</v>
      </c>
      <c r="W125">
        <v>1</v>
      </c>
      <c r="X125">
        <v>1</v>
      </c>
      <c r="Y125"/>
      <c r="Z125">
        <v>1</v>
      </c>
      <c r="AA125">
        <v>1</v>
      </c>
      <c r="AB125">
        <v>0</v>
      </c>
      <c r="AC125">
        <v>0</v>
      </c>
      <c r="AD125">
        <v>0</v>
      </c>
      <c r="AE125">
        <v>0</v>
      </c>
      <c r="AF125">
        <v>5</v>
      </c>
      <c r="AG125" s="9">
        <v>77</v>
      </c>
      <c r="AH125" s="9">
        <v>21</v>
      </c>
      <c r="AI125" s="9">
        <v>12</v>
      </c>
      <c r="AJ125" s="9">
        <v>9</v>
      </c>
      <c r="AK125" s="9">
        <v>3</v>
      </c>
      <c r="AL125" s="9">
        <v>0</v>
      </c>
      <c r="AM125" s="9">
        <v>9</v>
      </c>
      <c r="AN125" s="9">
        <v>2</v>
      </c>
      <c r="AO125" s="9">
        <v>2</v>
      </c>
      <c r="AP125" s="9">
        <v>5</v>
      </c>
      <c r="AQ125" s="8">
        <v>7</v>
      </c>
      <c r="AR125" s="8">
        <v>9</v>
      </c>
      <c r="AS125" s="8">
        <v>5</v>
      </c>
      <c r="AT125">
        <v>1</v>
      </c>
      <c r="AU125">
        <v>3</v>
      </c>
      <c r="AV125">
        <v>135</v>
      </c>
      <c r="AW125">
        <v>2</v>
      </c>
      <c r="AX125">
        <f t="shared" si="3"/>
        <v>130</v>
      </c>
      <c r="AY125" s="8">
        <v>0</v>
      </c>
      <c r="AZ125" s="8">
        <v>0</v>
      </c>
      <c r="BA125" s="8">
        <v>1</v>
      </c>
      <c r="BB125" s="9">
        <v>0</v>
      </c>
      <c r="BC125" s="27">
        <v>0</v>
      </c>
      <c r="BD125">
        <v>1</v>
      </c>
      <c r="BE125">
        <v>1</v>
      </c>
      <c r="BF125">
        <v>0</v>
      </c>
    </row>
    <row r="126" spans="1:58" x14ac:dyDescent="0.25">
      <c r="A126" s="9" t="s">
        <v>133</v>
      </c>
      <c r="B126" s="9" t="s">
        <v>134</v>
      </c>
      <c r="C126" s="9" t="s">
        <v>60</v>
      </c>
      <c r="D126" s="9" t="s">
        <v>61</v>
      </c>
      <c r="E126" s="9" t="s">
        <v>67</v>
      </c>
      <c r="F126" s="9" t="s">
        <v>68</v>
      </c>
      <c r="G126" s="9" t="s">
        <v>133</v>
      </c>
      <c r="H126" s="9" t="s">
        <v>134</v>
      </c>
      <c r="I126" s="9" t="s">
        <v>249</v>
      </c>
      <c r="J126" s="28" t="s">
        <v>250</v>
      </c>
      <c r="K126" s="9">
        <v>9</v>
      </c>
      <c r="L126" s="9">
        <v>9</v>
      </c>
      <c r="M126" s="9">
        <v>227</v>
      </c>
      <c r="N126" s="9">
        <v>356</v>
      </c>
      <c r="O126" s="9">
        <v>166</v>
      </c>
      <c r="P126" s="9">
        <v>749</v>
      </c>
      <c r="Q126" s="26">
        <v>38</v>
      </c>
      <c r="R126" s="26">
        <v>57</v>
      </c>
      <c r="S126">
        <v>1</v>
      </c>
      <c r="T126">
        <v>0</v>
      </c>
      <c r="U126">
        <v>0</v>
      </c>
      <c r="V126">
        <v>1</v>
      </c>
      <c r="W126">
        <v>1</v>
      </c>
      <c r="X126">
        <v>1</v>
      </c>
      <c r="Y126"/>
      <c r="Z126">
        <v>1</v>
      </c>
      <c r="AA126">
        <v>1</v>
      </c>
      <c r="AB126">
        <v>0</v>
      </c>
      <c r="AC126">
        <v>0</v>
      </c>
      <c r="AD126">
        <v>0</v>
      </c>
      <c r="AE126">
        <v>0</v>
      </c>
      <c r="AF126">
        <v>5</v>
      </c>
      <c r="AG126" s="9">
        <v>69</v>
      </c>
      <c r="AH126" s="9">
        <v>15</v>
      </c>
      <c r="AI126" s="9">
        <v>8</v>
      </c>
      <c r="AJ126" s="9">
        <v>7</v>
      </c>
      <c r="AK126" s="9">
        <v>0</v>
      </c>
      <c r="AL126" s="9">
        <v>0</v>
      </c>
      <c r="AM126" s="9">
        <v>8</v>
      </c>
      <c r="AN126" s="9">
        <v>2</v>
      </c>
      <c r="AO126" s="9">
        <v>0</v>
      </c>
      <c r="AP126" s="9">
        <v>5</v>
      </c>
      <c r="AQ126" s="8">
        <v>4</v>
      </c>
      <c r="AR126" s="8">
        <v>9</v>
      </c>
      <c r="AS126" s="8">
        <v>2</v>
      </c>
      <c r="AT126">
        <v>1</v>
      </c>
      <c r="AU126">
        <v>3</v>
      </c>
      <c r="AV126">
        <v>135</v>
      </c>
      <c r="AW126">
        <v>1</v>
      </c>
      <c r="AX126">
        <f t="shared" si="3"/>
        <v>65</v>
      </c>
      <c r="AY126" s="8">
        <v>0</v>
      </c>
      <c r="AZ126" s="8">
        <v>0</v>
      </c>
      <c r="BA126" s="8">
        <v>0</v>
      </c>
      <c r="BB126" s="9">
        <v>0</v>
      </c>
      <c r="BC126" s="27">
        <v>0</v>
      </c>
      <c r="BD126">
        <v>1</v>
      </c>
      <c r="BE126">
        <v>1</v>
      </c>
      <c r="BF126">
        <v>0</v>
      </c>
    </row>
    <row r="127" spans="1:58" x14ac:dyDescent="0.25">
      <c r="A127" s="9" t="s">
        <v>133</v>
      </c>
      <c r="B127" s="9" t="s">
        <v>134</v>
      </c>
      <c r="C127" s="9" t="s">
        <v>60</v>
      </c>
      <c r="D127" s="9" t="s">
        <v>61</v>
      </c>
      <c r="E127" s="9" t="s">
        <v>67</v>
      </c>
      <c r="F127" s="9" t="s">
        <v>68</v>
      </c>
      <c r="G127" s="9" t="s">
        <v>133</v>
      </c>
      <c r="H127" s="9" t="s">
        <v>134</v>
      </c>
      <c r="I127" s="9" t="s">
        <v>135</v>
      </c>
      <c r="J127" s="28" t="s">
        <v>136</v>
      </c>
      <c r="K127" s="9">
        <v>8</v>
      </c>
      <c r="L127" s="9">
        <v>8</v>
      </c>
      <c r="M127" s="9">
        <v>260</v>
      </c>
      <c r="N127" s="9">
        <v>307</v>
      </c>
      <c r="O127" s="9">
        <v>233</v>
      </c>
      <c r="P127" s="9">
        <v>800</v>
      </c>
      <c r="Q127" s="26">
        <v>39</v>
      </c>
      <c r="R127" s="26">
        <v>59</v>
      </c>
      <c r="S127">
        <v>1</v>
      </c>
      <c r="T127">
        <v>0</v>
      </c>
      <c r="U127">
        <v>0</v>
      </c>
      <c r="V127">
        <v>1</v>
      </c>
      <c r="W127">
        <v>1</v>
      </c>
      <c r="X127">
        <v>1</v>
      </c>
      <c r="Y127"/>
      <c r="Z127">
        <v>1</v>
      </c>
      <c r="AA127">
        <v>1</v>
      </c>
      <c r="AB127">
        <v>0</v>
      </c>
      <c r="AC127">
        <v>1</v>
      </c>
      <c r="AD127">
        <v>0</v>
      </c>
      <c r="AE127">
        <v>0</v>
      </c>
      <c r="AF127">
        <v>5</v>
      </c>
      <c r="AG127" s="9">
        <v>35</v>
      </c>
      <c r="AH127" s="9">
        <v>16</v>
      </c>
      <c r="AI127" s="9">
        <v>9</v>
      </c>
      <c r="AJ127" s="9">
        <v>7</v>
      </c>
      <c r="AK127" s="9">
        <v>0</v>
      </c>
      <c r="AL127" s="9">
        <v>0</v>
      </c>
      <c r="AM127" s="9">
        <v>9</v>
      </c>
      <c r="AN127" s="9">
        <v>3</v>
      </c>
      <c r="AO127" s="9">
        <v>1</v>
      </c>
      <c r="AP127" s="9">
        <v>3</v>
      </c>
      <c r="AQ127" s="8">
        <v>4</v>
      </c>
      <c r="AR127" s="8">
        <v>9</v>
      </c>
      <c r="AS127" s="8">
        <v>3</v>
      </c>
      <c r="AT127">
        <v>1</v>
      </c>
      <c r="AU127">
        <v>3</v>
      </c>
      <c r="AV127">
        <v>135</v>
      </c>
      <c r="AW127">
        <v>1</v>
      </c>
      <c r="AX127">
        <f t="shared" si="3"/>
        <v>65</v>
      </c>
      <c r="AY127" s="8">
        <v>1</v>
      </c>
      <c r="AZ127" s="8">
        <v>0</v>
      </c>
      <c r="BA127" s="8">
        <v>0</v>
      </c>
      <c r="BB127" s="9">
        <v>0</v>
      </c>
      <c r="BC127" s="27">
        <v>0</v>
      </c>
      <c r="BD127">
        <v>1</v>
      </c>
      <c r="BE127">
        <v>1</v>
      </c>
      <c r="BF127">
        <v>0</v>
      </c>
    </row>
    <row r="128" spans="1:58" x14ac:dyDescent="0.25">
      <c r="A128" s="9" t="s">
        <v>172</v>
      </c>
      <c r="B128" s="9" t="s">
        <v>207</v>
      </c>
      <c r="C128" s="9" t="s">
        <v>60</v>
      </c>
      <c r="D128" s="9" t="s">
        <v>61</v>
      </c>
      <c r="E128" s="9" t="s">
        <v>172</v>
      </c>
      <c r="F128" s="9" t="s">
        <v>173</v>
      </c>
      <c r="G128" s="9" t="s">
        <v>172</v>
      </c>
      <c r="H128" s="9" t="s">
        <v>207</v>
      </c>
      <c r="I128" s="9" t="s">
        <v>304</v>
      </c>
      <c r="J128" s="28" t="s">
        <v>305</v>
      </c>
      <c r="K128" s="9">
        <v>8</v>
      </c>
      <c r="L128" s="9">
        <v>8</v>
      </c>
      <c r="M128" s="9">
        <v>156</v>
      </c>
      <c r="N128" s="9">
        <v>158</v>
      </c>
      <c r="O128" s="9">
        <v>304</v>
      </c>
      <c r="P128" s="9">
        <v>618</v>
      </c>
      <c r="Q128" s="26">
        <v>34</v>
      </c>
      <c r="R128" s="26">
        <v>51</v>
      </c>
      <c r="S128">
        <v>1</v>
      </c>
      <c r="T128">
        <v>0</v>
      </c>
      <c r="U128">
        <v>0</v>
      </c>
      <c r="V128">
        <v>1</v>
      </c>
      <c r="W128">
        <v>1</v>
      </c>
      <c r="X128">
        <v>1</v>
      </c>
      <c r="Y128"/>
      <c r="Z128">
        <v>1</v>
      </c>
      <c r="AA128">
        <v>1</v>
      </c>
      <c r="AB128">
        <v>0</v>
      </c>
      <c r="AC128">
        <v>0</v>
      </c>
      <c r="AD128">
        <v>0</v>
      </c>
      <c r="AE128">
        <v>0</v>
      </c>
      <c r="AF128">
        <v>5</v>
      </c>
      <c r="AG128" s="9">
        <v>41</v>
      </c>
      <c r="AH128" s="9">
        <v>14</v>
      </c>
      <c r="AI128" s="9">
        <v>8</v>
      </c>
      <c r="AJ128" s="9">
        <v>6</v>
      </c>
      <c r="AK128" s="9">
        <v>1</v>
      </c>
      <c r="AL128" s="9">
        <v>0</v>
      </c>
      <c r="AM128" s="9">
        <v>7</v>
      </c>
      <c r="AN128" s="9">
        <v>0</v>
      </c>
      <c r="AO128" s="9">
        <v>2</v>
      </c>
      <c r="AP128" s="9">
        <v>4</v>
      </c>
      <c r="AQ128" s="8">
        <v>5</v>
      </c>
      <c r="AR128" s="8">
        <v>9</v>
      </c>
      <c r="AS128" s="8">
        <v>2</v>
      </c>
      <c r="AT128">
        <v>1</v>
      </c>
      <c r="AU128">
        <v>3</v>
      </c>
      <c r="AV128">
        <v>135</v>
      </c>
      <c r="AW128">
        <v>1</v>
      </c>
      <c r="AX128">
        <f t="shared" si="3"/>
        <v>65</v>
      </c>
      <c r="AY128" s="8">
        <v>0</v>
      </c>
      <c r="AZ128" s="8">
        <v>0</v>
      </c>
      <c r="BA128" s="8">
        <v>0</v>
      </c>
      <c r="BB128" s="9">
        <v>0</v>
      </c>
      <c r="BC128" s="27">
        <v>0</v>
      </c>
      <c r="BD128">
        <v>1</v>
      </c>
      <c r="BE128">
        <v>1</v>
      </c>
      <c r="BF128">
        <v>0</v>
      </c>
    </row>
    <row r="129" spans="1:58" x14ac:dyDescent="0.25">
      <c r="A129" s="9" t="s">
        <v>172</v>
      </c>
      <c r="B129" s="9" t="s">
        <v>207</v>
      </c>
      <c r="C129" s="9" t="s">
        <v>60</v>
      </c>
      <c r="D129" s="9" t="s">
        <v>61</v>
      </c>
      <c r="E129" s="9" t="s">
        <v>172</v>
      </c>
      <c r="F129" s="9" t="s">
        <v>173</v>
      </c>
      <c r="G129" s="9" t="s">
        <v>172</v>
      </c>
      <c r="H129" s="9" t="s">
        <v>207</v>
      </c>
      <c r="I129" s="9" t="s">
        <v>336</v>
      </c>
      <c r="J129" s="28" t="s">
        <v>337</v>
      </c>
      <c r="K129" s="9">
        <v>10</v>
      </c>
      <c r="L129" s="9">
        <v>10</v>
      </c>
      <c r="M129" s="9">
        <v>183</v>
      </c>
      <c r="N129" s="9">
        <v>228</v>
      </c>
      <c r="O129" s="9">
        <v>326</v>
      </c>
      <c r="P129" s="9">
        <v>737</v>
      </c>
      <c r="Q129" s="26">
        <v>39</v>
      </c>
      <c r="R129" s="26">
        <v>59</v>
      </c>
      <c r="S129">
        <v>1</v>
      </c>
      <c r="T129">
        <v>0</v>
      </c>
      <c r="U129">
        <v>0</v>
      </c>
      <c r="V129">
        <v>1</v>
      </c>
      <c r="W129">
        <v>1</v>
      </c>
      <c r="X129">
        <v>1</v>
      </c>
      <c r="Y129"/>
      <c r="Z129">
        <v>1</v>
      </c>
      <c r="AA129">
        <v>1</v>
      </c>
      <c r="AB129">
        <v>0</v>
      </c>
      <c r="AC129">
        <v>1</v>
      </c>
      <c r="AD129">
        <v>0</v>
      </c>
      <c r="AE129">
        <v>0</v>
      </c>
      <c r="AF129">
        <v>5</v>
      </c>
      <c r="AG129" s="9">
        <v>39</v>
      </c>
      <c r="AH129" s="9">
        <v>18</v>
      </c>
      <c r="AI129" s="9">
        <v>11</v>
      </c>
      <c r="AJ129" s="9">
        <v>7</v>
      </c>
      <c r="AK129" s="9">
        <v>1</v>
      </c>
      <c r="AL129" s="9">
        <v>0</v>
      </c>
      <c r="AM129" s="9">
        <v>10</v>
      </c>
      <c r="AN129" s="9">
        <v>1</v>
      </c>
      <c r="AO129" s="9">
        <v>0</v>
      </c>
      <c r="AP129" s="9">
        <v>6</v>
      </c>
      <c r="AQ129" s="8">
        <v>6</v>
      </c>
      <c r="AR129" s="8">
        <v>11</v>
      </c>
      <c r="AS129" s="8">
        <v>5</v>
      </c>
      <c r="AT129">
        <v>1</v>
      </c>
      <c r="AU129">
        <v>3</v>
      </c>
      <c r="AV129">
        <v>135</v>
      </c>
      <c r="AW129">
        <v>1</v>
      </c>
      <c r="AX129">
        <f t="shared" si="3"/>
        <v>65</v>
      </c>
      <c r="AY129" s="8">
        <v>0</v>
      </c>
      <c r="AZ129" s="8">
        <v>0</v>
      </c>
      <c r="BA129" s="8">
        <v>0</v>
      </c>
      <c r="BB129" s="9">
        <v>0</v>
      </c>
      <c r="BC129" s="27">
        <v>0</v>
      </c>
      <c r="BD129">
        <v>1</v>
      </c>
      <c r="BE129">
        <v>1</v>
      </c>
      <c r="BF129">
        <v>0</v>
      </c>
    </row>
    <row r="130" spans="1:58" x14ac:dyDescent="0.25">
      <c r="A130" s="9" t="s">
        <v>172</v>
      </c>
      <c r="B130" s="9" t="s">
        <v>207</v>
      </c>
      <c r="C130" s="9" t="s">
        <v>60</v>
      </c>
      <c r="D130" s="9" t="s">
        <v>61</v>
      </c>
      <c r="E130" s="9" t="s">
        <v>172</v>
      </c>
      <c r="F130" s="9" t="s">
        <v>173</v>
      </c>
      <c r="G130" s="9" t="s">
        <v>172</v>
      </c>
      <c r="H130" s="9" t="s">
        <v>207</v>
      </c>
      <c r="I130" s="9" t="s">
        <v>356</v>
      </c>
      <c r="J130" s="28" t="s">
        <v>357</v>
      </c>
      <c r="K130" s="9">
        <v>13</v>
      </c>
      <c r="L130" s="9">
        <v>13</v>
      </c>
      <c r="M130" s="9">
        <v>240</v>
      </c>
      <c r="N130" s="9">
        <v>230</v>
      </c>
      <c r="O130" s="9">
        <v>252</v>
      </c>
      <c r="P130" s="9">
        <v>722</v>
      </c>
      <c r="Q130" s="26">
        <v>35</v>
      </c>
      <c r="R130" s="26">
        <v>53</v>
      </c>
      <c r="S130">
        <v>1</v>
      </c>
      <c r="T130">
        <v>0</v>
      </c>
      <c r="U130">
        <v>0</v>
      </c>
      <c r="V130">
        <v>1</v>
      </c>
      <c r="W130">
        <v>1</v>
      </c>
      <c r="X130">
        <v>1</v>
      </c>
      <c r="Y130"/>
      <c r="Z130">
        <v>1</v>
      </c>
      <c r="AA130">
        <v>1</v>
      </c>
      <c r="AB130">
        <v>0</v>
      </c>
      <c r="AC130">
        <v>0</v>
      </c>
      <c r="AD130">
        <v>0</v>
      </c>
      <c r="AE130">
        <v>0</v>
      </c>
      <c r="AF130">
        <v>5</v>
      </c>
      <c r="AG130" s="9">
        <v>62</v>
      </c>
      <c r="AH130" s="9">
        <v>20</v>
      </c>
      <c r="AI130" s="9">
        <v>11</v>
      </c>
      <c r="AJ130" s="9">
        <v>9</v>
      </c>
      <c r="AK130" s="9">
        <v>2</v>
      </c>
      <c r="AL130" s="9">
        <v>0</v>
      </c>
      <c r="AM130" s="9">
        <v>9</v>
      </c>
      <c r="AN130" s="9">
        <v>1</v>
      </c>
      <c r="AO130" s="9">
        <v>0</v>
      </c>
      <c r="AP130" s="9">
        <v>8</v>
      </c>
      <c r="AQ130" s="8">
        <v>8</v>
      </c>
      <c r="AR130" s="8">
        <v>13</v>
      </c>
      <c r="AS130" s="8">
        <v>7</v>
      </c>
      <c r="AT130">
        <v>1</v>
      </c>
      <c r="AU130">
        <v>3</v>
      </c>
      <c r="AV130">
        <v>135</v>
      </c>
      <c r="AW130">
        <v>1</v>
      </c>
      <c r="AX130">
        <f t="shared" si="3"/>
        <v>65</v>
      </c>
      <c r="AY130" s="8">
        <v>0</v>
      </c>
      <c r="AZ130" s="8">
        <v>1</v>
      </c>
      <c r="BA130" s="8">
        <v>0</v>
      </c>
      <c r="BB130" s="9">
        <v>0</v>
      </c>
      <c r="BC130" s="27">
        <v>0</v>
      </c>
      <c r="BD130">
        <v>1</v>
      </c>
      <c r="BE130">
        <v>1</v>
      </c>
      <c r="BF130">
        <v>0</v>
      </c>
    </row>
    <row r="131" spans="1:58" x14ac:dyDescent="0.25">
      <c r="A131" s="8" t="s">
        <v>86</v>
      </c>
      <c r="B131" s="8" t="s">
        <v>87</v>
      </c>
      <c r="C131" s="8" t="s">
        <v>60</v>
      </c>
      <c r="D131" s="8" t="s">
        <v>61</v>
      </c>
      <c r="E131" s="8" t="s">
        <v>88</v>
      </c>
      <c r="F131" s="8" t="s">
        <v>89</v>
      </c>
      <c r="G131" s="8" t="s">
        <v>86</v>
      </c>
      <c r="H131" s="8" t="s">
        <v>87</v>
      </c>
      <c r="I131" s="8" t="s">
        <v>90</v>
      </c>
      <c r="J131" s="29" t="s">
        <v>91</v>
      </c>
      <c r="K131" s="8">
        <v>11</v>
      </c>
      <c r="L131" s="8">
        <v>11</v>
      </c>
      <c r="M131" s="8">
        <v>268</v>
      </c>
      <c r="N131" s="8">
        <v>279</v>
      </c>
      <c r="O131" s="8">
        <v>251</v>
      </c>
      <c r="P131" s="8">
        <v>798</v>
      </c>
      <c r="Q131" s="26">
        <v>38</v>
      </c>
      <c r="R131" s="26">
        <v>57</v>
      </c>
      <c r="S131">
        <v>1</v>
      </c>
      <c r="T131">
        <v>0</v>
      </c>
      <c r="U131">
        <v>0</v>
      </c>
      <c r="V131">
        <v>1</v>
      </c>
      <c r="W131">
        <v>1</v>
      </c>
      <c r="X131">
        <v>1</v>
      </c>
      <c r="Y131"/>
      <c r="Z131">
        <v>1</v>
      </c>
      <c r="AA131">
        <v>1</v>
      </c>
      <c r="AB131">
        <v>0</v>
      </c>
      <c r="AC131">
        <v>0</v>
      </c>
      <c r="AD131">
        <v>0</v>
      </c>
      <c r="AE131">
        <v>0</v>
      </c>
      <c r="AF131">
        <v>5</v>
      </c>
      <c r="AG131" s="8">
        <v>58</v>
      </c>
      <c r="AH131" s="8">
        <v>22</v>
      </c>
      <c r="AI131" s="8">
        <v>12</v>
      </c>
      <c r="AJ131" s="8">
        <v>9</v>
      </c>
      <c r="AK131" s="8">
        <v>1</v>
      </c>
      <c r="AL131" s="8">
        <v>1</v>
      </c>
      <c r="AM131" s="8">
        <v>10</v>
      </c>
      <c r="AN131" s="8">
        <v>0</v>
      </c>
      <c r="AO131" s="8">
        <v>0</v>
      </c>
      <c r="AP131" s="8">
        <v>9</v>
      </c>
      <c r="AQ131" s="8">
        <v>9</v>
      </c>
      <c r="AR131" s="8">
        <v>14</v>
      </c>
      <c r="AS131" s="8">
        <v>9</v>
      </c>
      <c r="AT131">
        <v>1</v>
      </c>
      <c r="AU131">
        <v>3</v>
      </c>
      <c r="AV131">
        <v>135</v>
      </c>
      <c r="AW131">
        <v>1</v>
      </c>
      <c r="AX131">
        <f t="shared" si="3"/>
        <v>65</v>
      </c>
      <c r="AY131" s="8">
        <v>1</v>
      </c>
      <c r="AZ131" s="8">
        <v>0</v>
      </c>
      <c r="BA131" s="8">
        <v>0</v>
      </c>
      <c r="BB131" s="8">
        <v>2</v>
      </c>
      <c r="BC131" s="27">
        <v>0</v>
      </c>
      <c r="BD131">
        <v>1</v>
      </c>
      <c r="BE131">
        <v>1</v>
      </c>
      <c r="BF131">
        <v>0</v>
      </c>
    </row>
    <row r="132" spans="1:58" x14ac:dyDescent="0.25">
      <c r="A132" s="9" t="s">
        <v>86</v>
      </c>
      <c r="B132" s="9" t="s">
        <v>87</v>
      </c>
      <c r="C132" s="9" t="s">
        <v>60</v>
      </c>
      <c r="D132" s="9" t="s">
        <v>61</v>
      </c>
      <c r="E132" s="9" t="s">
        <v>88</v>
      </c>
      <c r="F132" s="9" t="s">
        <v>89</v>
      </c>
      <c r="G132" s="9" t="s">
        <v>86</v>
      </c>
      <c r="H132" s="9" t="s">
        <v>87</v>
      </c>
      <c r="I132" s="9" t="s">
        <v>358</v>
      </c>
      <c r="J132" s="28" t="s">
        <v>359</v>
      </c>
      <c r="K132" s="9">
        <v>7</v>
      </c>
      <c r="L132" s="9">
        <v>7</v>
      </c>
      <c r="M132" s="9">
        <v>199</v>
      </c>
      <c r="N132" s="9">
        <v>235</v>
      </c>
      <c r="O132" s="9">
        <v>226</v>
      </c>
      <c r="P132" s="9">
        <v>660</v>
      </c>
      <c r="Q132" s="26">
        <v>34</v>
      </c>
      <c r="R132" s="26">
        <v>51</v>
      </c>
      <c r="S132">
        <v>1</v>
      </c>
      <c r="T132">
        <v>0</v>
      </c>
      <c r="U132">
        <v>0</v>
      </c>
      <c r="V132">
        <v>1</v>
      </c>
      <c r="W132">
        <v>1</v>
      </c>
      <c r="X132">
        <v>1</v>
      </c>
      <c r="Y132"/>
      <c r="Z132">
        <v>1</v>
      </c>
      <c r="AA132">
        <v>1</v>
      </c>
      <c r="AB132">
        <v>0</v>
      </c>
      <c r="AC132">
        <v>0</v>
      </c>
      <c r="AD132">
        <v>0</v>
      </c>
      <c r="AE132">
        <v>0</v>
      </c>
      <c r="AF132">
        <v>5</v>
      </c>
      <c r="AG132" s="9">
        <v>32</v>
      </c>
      <c r="AH132" s="9">
        <v>13</v>
      </c>
      <c r="AI132" s="9">
        <v>7</v>
      </c>
      <c r="AJ132" s="9">
        <v>6</v>
      </c>
      <c r="AK132" s="9">
        <v>2</v>
      </c>
      <c r="AL132" s="9">
        <v>0</v>
      </c>
      <c r="AM132" s="9">
        <v>5</v>
      </c>
      <c r="AN132" s="9">
        <v>0</v>
      </c>
      <c r="AO132" s="9">
        <v>0</v>
      </c>
      <c r="AP132" s="9">
        <v>6</v>
      </c>
      <c r="AQ132" s="8">
        <v>6</v>
      </c>
      <c r="AR132" s="8">
        <v>8</v>
      </c>
      <c r="AS132" s="8">
        <v>4</v>
      </c>
      <c r="AT132">
        <v>1</v>
      </c>
      <c r="AU132">
        <v>3</v>
      </c>
      <c r="AV132">
        <v>135</v>
      </c>
      <c r="AW132">
        <v>2</v>
      </c>
      <c r="AX132">
        <f t="shared" si="3"/>
        <v>130</v>
      </c>
      <c r="AY132" s="8">
        <v>0</v>
      </c>
      <c r="AZ132" s="8">
        <v>0</v>
      </c>
      <c r="BA132" s="8">
        <v>0</v>
      </c>
      <c r="BB132" s="9">
        <v>1</v>
      </c>
      <c r="BC132" s="27">
        <v>0</v>
      </c>
      <c r="BD132">
        <v>1</v>
      </c>
      <c r="BE132">
        <v>1</v>
      </c>
      <c r="BF132">
        <v>0</v>
      </c>
    </row>
    <row r="133" spans="1:58" x14ac:dyDescent="0.25">
      <c r="A133" s="9" t="s">
        <v>86</v>
      </c>
      <c r="B133" s="9" t="s">
        <v>87</v>
      </c>
      <c r="C133" s="9" t="s">
        <v>60</v>
      </c>
      <c r="D133" s="9" t="s">
        <v>61</v>
      </c>
      <c r="E133" s="9" t="s">
        <v>88</v>
      </c>
      <c r="F133" s="9" t="s">
        <v>89</v>
      </c>
      <c r="G133" s="9" t="s">
        <v>86</v>
      </c>
      <c r="H133" s="9" t="s">
        <v>87</v>
      </c>
      <c r="I133" s="9" t="s">
        <v>398</v>
      </c>
      <c r="J133" s="28" t="s">
        <v>399</v>
      </c>
      <c r="K133" s="9">
        <v>12</v>
      </c>
      <c r="L133" s="9">
        <v>12</v>
      </c>
      <c r="M133" s="9">
        <v>254</v>
      </c>
      <c r="N133" s="9">
        <v>252</v>
      </c>
      <c r="O133" s="9">
        <v>220</v>
      </c>
      <c r="P133" s="9">
        <v>726</v>
      </c>
      <c r="Q133" s="26">
        <v>35</v>
      </c>
      <c r="R133" s="26">
        <v>53</v>
      </c>
      <c r="S133">
        <v>1</v>
      </c>
      <c r="T133">
        <v>0</v>
      </c>
      <c r="U133">
        <v>0</v>
      </c>
      <c r="V133">
        <v>1</v>
      </c>
      <c r="W133">
        <v>1</v>
      </c>
      <c r="X133">
        <v>1</v>
      </c>
      <c r="Y133"/>
      <c r="Z133">
        <v>1</v>
      </c>
      <c r="AA133">
        <v>1</v>
      </c>
      <c r="AB133">
        <v>0</v>
      </c>
      <c r="AC133">
        <v>0</v>
      </c>
      <c r="AD133">
        <v>0</v>
      </c>
      <c r="AE133">
        <v>0</v>
      </c>
      <c r="AF133">
        <v>5</v>
      </c>
      <c r="AG133" s="9">
        <v>46</v>
      </c>
      <c r="AH133" s="9">
        <v>20</v>
      </c>
      <c r="AI133" s="9">
        <v>11</v>
      </c>
      <c r="AJ133" s="9">
        <v>9</v>
      </c>
      <c r="AK133" s="9">
        <v>0</v>
      </c>
      <c r="AL133" s="9">
        <v>0</v>
      </c>
      <c r="AM133" s="9">
        <v>11</v>
      </c>
      <c r="AN133" s="9">
        <v>0</v>
      </c>
      <c r="AO133" s="9">
        <v>0</v>
      </c>
      <c r="AP133" s="9">
        <v>9</v>
      </c>
      <c r="AQ133" s="8">
        <v>9</v>
      </c>
      <c r="AR133" s="8">
        <v>15</v>
      </c>
      <c r="AS133" s="8">
        <v>8</v>
      </c>
      <c r="AT133">
        <v>1</v>
      </c>
      <c r="AU133">
        <v>3</v>
      </c>
      <c r="AV133">
        <v>135</v>
      </c>
      <c r="AW133">
        <v>2</v>
      </c>
      <c r="AX133">
        <f t="shared" ref="AX133:AX144" si="4">AW133*65</f>
        <v>130</v>
      </c>
      <c r="AY133" s="8">
        <v>0</v>
      </c>
      <c r="AZ133" s="8">
        <v>0</v>
      </c>
      <c r="BA133" s="8">
        <v>0</v>
      </c>
      <c r="BB133" s="9">
        <v>1</v>
      </c>
      <c r="BC133" s="27">
        <v>0</v>
      </c>
      <c r="BD133">
        <v>1</v>
      </c>
      <c r="BE133">
        <v>1</v>
      </c>
      <c r="BF133">
        <v>0</v>
      </c>
    </row>
    <row r="134" spans="1:58" x14ac:dyDescent="0.25">
      <c r="A134" s="9" t="s">
        <v>170</v>
      </c>
      <c r="B134" s="9" t="s">
        <v>171</v>
      </c>
      <c r="C134" s="9" t="s">
        <v>60</v>
      </c>
      <c r="D134" s="9" t="s">
        <v>61</v>
      </c>
      <c r="E134" s="9" t="s">
        <v>172</v>
      </c>
      <c r="F134" s="9" t="s">
        <v>173</v>
      </c>
      <c r="G134" s="9" t="s">
        <v>170</v>
      </c>
      <c r="H134" s="9" t="s">
        <v>171</v>
      </c>
      <c r="I134" s="9" t="s">
        <v>174</v>
      </c>
      <c r="J134" s="28" t="s">
        <v>175</v>
      </c>
      <c r="K134" s="9">
        <v>7</v>
      </c>
      <c r="L134" s="9">
        <v>7</v>
      </c>
      <c r="M134" s="9">
        <v>208</v>
      </c>
      <c r="N134" s="9">
        <v>237</v>
      </c>
      <c r="O134" s="9">
        <v>288</v>
      </c>
      <c r="P134" s="9">
        <v>733</v>
      </c>
      <c r="Q134" s="26">
        <v>38</v>
      </c>
      <c r="R134" s="26">
        <v>57</v>
      </c>
      <c r="S134">
        <v>1</v>
      </c>
      <c r="T134">
        <v>0</v>
      </c>
      <c r="U134">
        <v>0</v>
      </c>
      <c r="V134">
        <v>1</v>
      </c>
      <c r="W134">
        <v>1</v>
      </c>
      <c r="X134">
        <v>1</v>
      </c>
      <c r="Y134"/>
      <c r="Z134">
        <v>1</v>
      </c>
      <c r="AA134">
        <v>1</v>
      </c>
      <c r="AB134">
        <v>0</v>
      </c>
      <c r="AC134">
        <v>0</v>
      </c>
      <c r="AD134">
        <v>0</v>
      </c>
      <c r="AE134">
        <v>0</v>
      </c>
      <c r="AF134">
        <v>5</v>
      </c>
      <c r="AG134" s="9">
        <v>51</v>
      </c>
      <c r="AH134" s="9">
        <v>13</v>
      </c>
      <c r="AI134" s="9">
        <v>9</v>
      </c>
      <c r="AJ134" s="9">
        <v>4</v>
      </c>
      <c r="AK134" s="9">
        <v>1</v>
      </c>
      <c r="AL134" s="9">
        <v>0</v>
      </c>
      <c r="AM134" s="9">
        <v>8</v>
      </c>
      <c r="AN134" s="9">
        <v>0</v>
      </c>
      <c r="AO134" s="9">
        <v>2</v>
      </c>
      <c r="AP134" s="9">
        <v>2</v>
      </c>
      <c r="AQ134" s="8">
        <v>4</v>
      </c>
      <c r="AR134" s="8">
        <v>7</v>
      </c>
      <c r="AS134" s="8">
        <v>3</v>
      </c>
      <c r="AT134">
        <v>1</v>
      </c>
      <c r="AU134">
        <v>3</v>
      </c>
      <c r="AV134">
        <v>135</v>
      </c>
      <c r="AW134">
        <v>1</v>
      </c>
      <c r="AX134">
        <f t="shared" si="4"/>
        <v>65</v>
      </c>
      <c r="AY134" s="8">
        <v>0</v>
      </c>
      <c r="AZ134" s="8">
        <v>0</v>
      </c>
      <c r="BA134" s="8">
        <v>0</v>
      </c>
      <c r="BB134" s="9">
        <v>1</v>
      </c>
      <c r="BC134" s="27">
        <v>0</v>
      </c>
      <c r="BD134">
        <v>1</v>
      </c>
      <c r="BE134">
        <v>1</v>
      </c>
      <c r="BF134">
        <v>0</v>
      </c>
    </row>
    <row r="135" spans="1:58" x14ac:dyDescent="0.25">
      <c r="A135" s="9" t="s">
        <v>170</v>
      </c>
      <c r="B135" s="9" t="s">
        <v>171</v>
      </c>
      <c r="C135" s="9" t="s">
        <v>60</v>
      </c>
      <c r="D135" s="9" t="s">
        <v>61</v>
      </c>
      <c r="E135" s="9" t="s">
        <v>172</v>
      </c>
      <c r="F135" s="9" t="s">
        <v>173</v>
      </c>
      <c r="G135" s="9" t="s">
        <v>172</v>
      </c>
      <c r="H135" s="9" t="s">
        <v>207</v>
      </c>
      <c r="I135" s="9" t="s">
        <v>208</v>
      </c>
      <c r="J135" s="28" t="s">
        <v>209</v>
      </c>
      <c r="K135" s="9">
        <v>11</v>
      </c>
      <c r="L135" s="9">
        <v>11</v>
      </c>
      <c r="M135" s="9">
        <v>249</v>
      </c>
      <c r="N135" s="9">
        <v>224</v>
      </c>
      <c r="O135" s="9">
        <v>230</v>
      </c>
      <c r="P135" s="9">
        <v>703</v>
      </c>
      <c r="Q135" s="26">
        <v>34</v>
      </c>
      <c r="R135" s="26">
        <v>51</v>
      </c>
      <c r="S135">
        <v>1</v>
      </c>
      <c r="T135">
        <v>0</v>
      </c>
      <c r="U135">
        <v>0</v>
      </c>
      <c r="V135">
        <v>1</v>
      </c>
      <c r="W135">
        <v>1</v>
      </c>
      <c r="X135">
        <v>1</v>
      </c>
      <c r="Y135"/>
      <c r="Z135">
        <v>1</v>
      </c>
      <c r="AA135">
        <v>1</v>
      </c>
      <c r="AB135">
        <v>0</v>
      </c>
      <c r="AC135">
        <v>0</v>
      </c>
      <c r="AD135">
        <v>0</v>
      </c>
      <c r="AE135">
        <v>0</v>
      </c>
      <c r="AF135">
        <v>5</v>
      </c>
      <c r="AG135" s="9">
        <v>46</v>
      </c>
      <c r="AH135" s="9">
        <v>17</v>
      </c>
      <c r="AI135" s="9">
        <v>11</v>
      </c>
      <c r="AJ135" s="9">
        <v>6</v>
      </c>
      <c r="AK135" s="9">
        <v>0</v>
      </c>
      <c r="AL135" s="9">
        <v>0</v>
      </c>
      <c r="AM135" s="9">
        <v>11</v>
      </c>
      <c r="AN135" s="9">
        <v>1</v>
      </c>
      <c r="AO135" s="9">
        <v>0</v>
      </c>
      <c r="AP135" s="9">
        <v>5</v>
      </c>
      <c r="AQ135" s="8">
        <v>5</v>
      </c>
      <c r="AR135" s="8">
        <v>9</v>
      </c>
      <c r="AS135" s="8">
        <v>3</v>
      </c>
      <c r="AT135">
        <v>1</v>
      </c>
      <c r="AU135">
        <v>3</v>
      </c>
      <c r="AV135">
        <v>135</v>
      </c>
      <c r="AW135">
        <v>2</v>
      </c>
      <c r="AX135">
        <f t="shared" si="4"/>
        <v>130</v>
      </c>
      <c r="AY135" s="8">
        <v>2</v>
      </c>
      <c r="AZ135" s="8">
        <v>2</v>
      </c>
      <c r="BA135" s="8">
        <v>2</v>
      </c>
      <c r="BB135" s="9">
        <v>3</v>
      </c>
      <c r="BC135" s="27">
        <v>0</v>
      </c>
      <c r="BD135">
        <v>1</v>
      </c>
      <c r="BE135">
        <v>1</v>
      </c>
      <c r="BF135">
        <v>0</v>
      </c>
    </row>
    <row r="136" spans="1:58" x14ac:dyDescent="0.25">
      <c r="A136" s="9" t="s">
        <v>276</v>
      </c>
      <c r="B136" s="9" t="s">
        <v>277</v>
      </c>
      <c r="C136" s="9" t="s">
        <v>60</v>
      </c>
      <c r="D136" s="9" t="s">
        <v>61</v>
      </c>
      <c r="E136" s="9" t="s">
        <v>107</v>
      </c>
      <c r="F136" s="9" t="s">
        <v>109</v>
      </c>
      <c r="G136" s="9" t="s">
        <v>276</v>
      </c>
      <c r="H136" s="9" t="s">
        <v>277</v>
      </c>
      <c r="I136" s="9" t="s">
        <v>306</v>
      </c>
      <c r="J136" s="28" t="s">
        <v>307</v>
      </c>
      <c r="K136" s="9">
        <v>9</v>
      </c>
      <c r="L136" s="9">
        <v>9</v>
      </c>
      <c r="M136" s="9">
        <v>201</v>
      </c>
      <c r="N136" s="9">
        <v>205</v>
      </c>
      <c r="O136" s="9">
        <v>94</v>
      </c>
      <c r="P136" s="9">
        <v>500</v>
      </c>
      <c r="Q136" s="26">
        <v>32</v>
      </c>
      <c r="R136" s="26">
        <v>48</v>
      </c>
      <c r="S136">
        <v>1</v>
      </c>
      <c r="T136">
        <v>0</v>
      </c>
      <c r="U136">
        <v>0</v>
      </c>
      <c r="V136">
        <v>1</v>
      </c>
      <c r="W136">
        <v>1</v>
      </c>
      <c r="X136">
        <v>1</v>
      </c>
      <c r="Y136"/>
      <c r="Z136">
        <v>1</v>
      </c>
      <c r="AA136">
        <v>1</v>
      </c>
      <c r="AB136">
        <v>0</v>
      </c>
      <c r="AC136">
        <v>0</v>
      </c>
      <c r="AD136">
        <v>0</v>
      </c>
      <c r="AE136">
        <v>0</v>
      </c>
      <c r="AF136">
        <v>5</v>
      </c>
      <c r="AG136" s="9">
        <v>39</v>
      </c>
      <c r="AH136" s="9">
        <v>13</v>
      </c>
      <c r="AI136" s="9">
        <v>8</v>
      </c>
      <c r="AJ136" s="9">
        <v>5</v>
      </c>
      <c r="AK136" s="9">
        <v>2</v>
      </c>
      <c r="AL136" s="9">
        <v>0</v>
      </c>
      <c r="AM136" s="9">
        <v>6</v>
      </c>
      <c r="AN136" s="9">
        <v>1</v>
      </c>
      <c r="AO136" s="9">
        <v>0</v>
      </c>
      <c r="AP136" s="9">
        <v>4</v>
      </c>
      <c r="AQ136" s="8">
        <v>4</v>
      </c>
      <c r="AR136" s="8">
        <v>6</v>
      </c>
      <c r="AS136" s="8">
        <v>4</v>
      </c>
      <c r="AT136">
        <v>1</v>
      </c>
      <c r="AU136">
        <v>3</v>
      </c>
      <c r="AV136">
        <v>135</v>
      </c>
      <c r="AW136">
        <v>2</v>
      </c>
      <c r="AX136">
        <f t="shared" si="4"/>
        <v>130</v>
      </c>
      <c r="AY136" s="8">
        <v>0</v>
      </c>
      <c r="AZ136" s="8">
        <v>0</v>
      </c>
      <c r="BA136" s="8">
        <v>0</v>
      </c>
      <c r="BB136" s="9">
        <v>0</v>
      </c>
      <c r="BC136" s="27">
        <v>0</v>
      </c>
      <c r="BD136">
        <v>1</v>
      </c>
      <c r="BE136">
        <v>1</v>
      </c>
      <c r="BF136">
        <v>0</v>
      </c>
    </row>
    <row r="137" spans="1:58" x14ac:dyDescent="0.25">
      <c r="A137" s="9" t="s">
        <v>276</v>
      </c>
      <c r="B137" s="9" t="s">
        <v>277</v>
      </c>
      <c r="C137" s="9" t="s">
        <v>60</v>
      </c>
      <c r="D137" s="9" t="s">
        <v>61</v>
      </c>
      <c r="E137" s="9" t="s">
        <v>107</v>
      </c>
      <c r="F137" s="9" t="s">
        <v>109</v>
      </c>
      <c r="G137" s="9" t="s">
        <v>276</v>
      </c>
      <c r="H137" s="9" t="s">
        <v>277</v>
      </c>
      <c r="I137" s="9" t="s">
        <v>430</v>
      </c>
      <c r="J137" s="28" t="s">
        <v>431</v>
      </c>
      <c r="K137" s="9">
        <v>9</v>
      </c>
      <c r="L137" s="9">
        <v>9</v>
      </c>
      <c r="M137" s="9">
        <v>201</v>
      </c>
      <c r="N137" s="9">
        <v>175</v>
      </c>
      <c r="O137" s="9">
        <v>88</v>
      </c>
      <c r="P137" s="9">
        <v>464</v>
      </c>
      <c r="Q137" s="26">
        <v>32</v>
      </c>
      <c r="R137" s="26">
        <v>48</v>
      </c>
      <c r="S137">
        <v>1</v>
      </c>
      <c r="T137">
        <v>0</v>
      </c>
      <c r="U137">
        <v>0</v>
      </c>
      <c r="V137">
        <v>1</v>
      </c>
      <c r="W137">
        <v>1</v>
      </c>
      <c r="X137">
        <v>1</v>
      </c>
      <c r="Y137"/>
      <c r="Z137">
        <v>1</v>
      </c>
      <c r="AA137">
        <v>1</v>
      </c>
      <c r="AB137">
        <v>0</v>
      </c>
      <c r="AC137">
        <v>0</v>
      </c>
      <c r="AD137">
        <v>0</v>
      </c>
      <c r="AE137">
        <v>0</v>
      </c>
      <c r="AF137">
        <v>5</v>
      </c>
      <c r="AG137" s="9">
        <v>32</v>
      </c>
      <c r="AH137" s="9">
        <v>17</v>
      </c>
      <c r="AI137" s="9">
        <v>8</v>
      </c>
      <c r="AJ137" s="9">
        <v>9</v>
      </c>
      <c r="AK137" s="9">
        <v>0</v>
      </c>
      <c r="AL137" s="9">
        <v>0</v>
      </c>
      <c r="AM137" s="9">
        <v>8</v>
      </c>
      <c r="AN137" s="9">
        <v>0</v>
      </c>
      <c r="AO137" s="9">
        <v>1</v>
      </c>
      <c r="AP137" s="9">
        <v>8</v>
      </c>
      <c r="AQ137" s="8">
        <v>8</v>
      </c>
      <c r="AR137" s="8">
        <v>11</v>
      </c>
      <c r="AS137" s="8">
        <v>4</v>
      </c>
      <c r="AT137">
        <v>1</v>
      </c>
      <c r="AU137">
        <v>3</v>
      </c>
      <c r="AV137">
        <v>135</v>
      </c>
      <c r="AW137">
        <v>2</v>
      </c>
      <c r="AX137">
        <f t="shared" si="4"/>
        <v>130</v>
      </c>
      <c r="AY137" s="8">
        <v>0</v>
      </c>
      <c r="AZ137" s="8">
        <v>0</v>
      </c>
      <c r="BA137" s="8">
        <v>0</v>
      </c>
      <c r="BB137" s="9">
        <v>0</v>
      </c>
      <c r="BC137" s="27">
        <v>0</v>
      </c>
      <c r="BD137">
        <v>1</v>
      </c>
      <c r="BE137">
        <v>1</v>
      </c>
      <c r="BF137">
        <v>0</v>
      </c>
    </row>
    <row r="138" spans="1:58" x14ac:dyDescent="0.25">
      <c r="A138" s="9" t="s">
        <v>276</v>
      </c>
      <c r="B138" s="9" t="s">
        <v>277</v>
      </c>
      <c r="C138" s="9" t="s">
        <v>60</v>
      </c>
      <c r="D138" s="9" t="s">
        <v>61</v>
      </c>
      <c r="E138" s="9" t="s">
        <v>107</v>
      </c>
      <c r="F138" s="9" t="s">
        <v>109</v>
      </c>
      <c r="G138" s="9" t="s">
        <v>276</v>
      </c>
      <c r="H138" s="9" t="s">
        <v>277</v>
      </c>
      <c r="I138" s="9" t="s">
        <v>278</v>
      </c>
      <c r="J138" s="28" t="s">
        <v>279</v>
      </c>
      <c r="K138" s="9">
        <v>6</v>
      </c>
      <c r="L138" s="9">
        <v>6</v>
      </c>
      <c r="M138" s="9">
        <v>192</v>
      </c>
      <c r="N138" s="9">
        <v>278</v>
      </c>
      <c r="O138" s="9">
        <v>170</v>
      </c>
      <c r="P138" s="9">
        <v>640</v>
      </c>
      <c r="Q138" s="26">
        <v>34</v>
      </c>
      <c r="R138" s="26">
        <v>51</v>
      </c>
      <c r="S138">
        <v>1</v>
      </c>
      <c r="T138">
        <v>0</v>
      </c>
      <c r="U138">
        <v>0</v>
      </c>
      <c r="V138">
        <v>1</v>
      </c>
      <c r="W138">
        <v>1</v>
      </c>
      <c r="X138">
        <v>1</v>
      </c>
      <c r="Y138"/>
      <c r="Z138">
        <v>1</v>
      </c>
      <c r="AA138">
        <v>1</v>
      </c>
      <c r="AB138">
        <v>0</v>
      </c>
      <c r="AC138">
        <v>1</v>
      </c>
      <c r="AD138">
        <v>0</v>
      </c>
      <c r="AE138">
        <v>0</v>
      </c>
      <c r="AF138">
        <v>5</v>
      </c>
      <c r="AG138" s="9">
        <v>17</v>
      </c>
      <c r="AH138" s="9">
        <v>12</v>
      </c>
      <c r="AI138" s="9">
        <v>6</v>
      </c>
      <c r="AJ138" s="9">
        <v>6</v>
      </c>
      <c r="AK138" s="9">
        <v>2</v>
      </c>
      <c r="AL138" s="9">
        <v>0</v>
      </c>
      <c r="AM138" s="9">
        <v>4</v>
      </c>
      <c r="AN138" s="9">
        <v>1</v>
      </c>
      <c r="AO138" s="9">
        <v>1</v>
      </c>
      <c r="AP138" s="9">
        <v>4</v>
      </c>
      <c r="AQ138" s="8">
        <v>5</v>
      </c>
      <c r="AR138" s="8">
        <v>5</v>
      </c>
      <c r="AS138" s="8">
        <v>5</v>
      </c>
      <c r="AT138">
        <v>1</v>
      </c>
      <c r="AU138">
        <v>3</v>
      </c>
      <c r="AV138">
        <v>135</v>
      </c>
      <c r="AW138">
        <v>1</v>
      </c>
      <c r="AX138">
        <f t="shared" si="4"/>
        <v>65</v>
      </c>
      <c r="AY138" s="8">
        <v>1</v>
      </c>
      <c r="AZ138" s="8">
        <v>0</v>
      </c>
      <c r="BA138" s="8">
        <v>0</v>
      </c>
      <c r="BB138" s="9">
        <v>1</v>
      </c>
      <c r="BC138" s="27">
        <v>0</v>
      </c>
      <c r="BD138">
        <v>1</v>
      </c>
      <c r="BE138">
        <v>1</v>
      </c>
      <c r="BF138">
        <v>0</v>
      </c>
    </row>
    <row r="139" spans="1:58" x14ac:dyDescent="0.25">
      <c r="A139" s="9" t="s">
        <v>227</v>
      </c>
      <c r="B139" s="9" t="s">
        <v>228</v>
      </c>
      <c r="C139" s="9" t="s">
        <v>60</v>
      </c>
      <c r="D139" s="9" t="s">
        <v>61</v>
      </c>
      <c r="E139" s="9" t="s">
        <v>107</v>
      </c>
      <c r="F139" s="9" t="s">
        <v>109</v>
      </c>
      <c r="G139" s="9" t="s">
        <v>229</v>
      </c>
      <c r="H139" s="9" t="s">
        <v>230</v>
      </c>
      <c r="I139" s="9" t="s">
        <v>231</v>
      </c>
      <c r="J139" s="28" t="s">
        <v>232</v>
      </c>
      <c r="K139" s="9">
        <v>9</v>
      </c>
      <c r="L139" s="9">
        <v>9</v>
      </c>
      <c r="M139" s="9">
        <v>145</v>
      </c>
      <c r="N139" s="9">
        <v>199</v>
      </c>
      <c r="O139" s="9">
        <v>57</v>
      </c>
      <c r="P139" s="9">
        <v>401</v>
      </c>
      <c r="Q139" s="26">
        <v>32</v>
      </c>
      <c r="R139" s="26">
        <v>48</v>
      </c>
      <c r="S139">
        <v>1</v>
      </c>
      <c r="T139">
        <v>0</v>
      </c>
      <c r="U139">
        <v>0</v>
      </c>
      <c r="V139">
        <v>1</v>
      </c>
      <c r="W139">
        <v>1</v>
      </c>
      <c r="X139">
        <v>1</v>
      </c>
      <c r="Y139"/>
      <c r="Z139">
        <v>1</v>
      </c>
      <c r="AA139">
        <v>1</v>
      </c>
      <c r="AB139">
        <v>0</v>
      </c>
      <c r="AC139">
        <v>0</v>
      </c>
      <c r="AD139">
        <v>0</v>
      </c>
      <c r="AE139">
        <v>0</v>
      </c>
      <c r="AF139">
        <v>5</v>
      </c>
      <c r="AG139" s="9">
        <v>43</v>
      </c>
      <c r="AH139" s="9">
        <v>17</v>
      </c>
      <c r="AI139" s="9">
        <v>7</v>
      </c>
      <c r="AJ139" s="9">
        <v>9</v>
      </c>
      <c r="AK139" s="9">
        <v>4</v>
      </c>
      <c r="AL139" s="9">
        <v>0</v>
      </c>
      <c r="AM139" s="9">
        <v>3</v>
      </c>
      <c r="AN139" s="9">
        <v>4</v>
      </c>
      <c r="AO139" s="9">
        <v>0</v>
      </c>
      <c r="AP139" s="9">
        <v>5</v>
      </c>
      <c r="AQ139" s="8">
        <v>5</v>
      </c>
      <c r="AR139" s="8">
        <v>5</v>
      </c>
      <c r="AS139" s="8">
        <v>3</v>
      </c>
      <c r="AT139">
        <v>1</v>
      </c>
      <c r="AU139">
        <v>4</v>
      </c>
      <c r="AV139">
        <v>180</v>
      </c>
      <c r="AW139">
        <v>1</v>
      </c>
      <c r="AX139">
        <f t="shared" si="4"/>
        <v>65</v>
      </c>
      <c r="AY139" s="8">
        <v>1</v>
      </c>
      <c r="AZ139" s="8">
        <v>0</v>
      </c>
      <c r="BA139" s="8">
        <v>1</v>
      </c>
      <c r="BB139" s="9">
        <v>0</v>
      </c>
      <c r="BC139" s="27">
        <v>0</v>
      </c>
      <c r="BD139">
        <v>1</v>
      </c>
      <c r="BE139">
        <v>1</v>
      </c>
      <c r="BF139">
        <v>0</v>
      </c>
    </row>
    <row r="140" spans="1:58" x14ac:dyDescent="0.25">
      <c r="A140" s="9" t="s">
        <v>203</v>
      </c>
      <c r="B140" s="9" t="s">
        <v>204</v>
      </c>
      <c r="C140" s="9" t="s">
        <v>60</v>
      </c>
      <c r="D140" s="9" t="s">
        <v>61</v>
      </c>
      <c r="E140" s="9" t="s">
        <v>107</v>
      </c>
      <c r="F140" s="9" t="s">
        <v>109</v>
      </c>
      <c r="G140" s="9" t="s">
        <v>203</v>
      </c>
      <c r="H140" s="9" t="s">
        <v>204</v>
      </c>
      <c r="I140" s="9" t="s">
        <v>263</v>
      </c>
      <c r="J140" s="28" t="s">
        <v>264</v>
      </c>
      <c r="K140" s="9">
        <v>10</v>
      </c>
      <c r="L140" s="9">
        <v>10</v>
      </c>
      <c r="M140" s="9">
        <v>230</v>
      </c>
      <c r="N140" s="9">
        <v>180</v>
      </c>
      <c r="O140" s="9">
        <v>62</v>
      </c>
      <c r="P140" s="9">
        <v>472</v>
      </c>
      <c r="Q140" s="26">
        <v>32</v>
      </c>
      <c r="R140" s="26">
        <v>48</v>
      </c>
      <c r="S140">
        <v>1</v>
      </c>
      <c r="T140">
        <v>0</v>
      </c>
      <c r="U140">
        <v>0</v>
      </c>
      <c r="V140">
        <v>1</v>
      </c>
      <c r="W140">
        <v>1</v>
      </c>
      <c r="X140">
        <v>1</v>
      </c>
      <c r="Y140"/>
      <c r="Z140">
        <v>1</v>
      </c>
      <c r="AA140">
        <v>1</v>
      </c>
      <c r="AB140">
        <v>0</v>
      </c>
      <c r="AC140">
        <v>0</v>
      </c>
      <c r="AD140">
        <v>0</v>
      </c>
      <c r="AE140">
        <v>0</v>
      </c>
      <c r="AF140">
        <v>5</v>
      </c>
      <c r="AG140" s="9">
        <v>31</v>
      </c>
      <c r="AH140" s="9">
        <v>17</v>
      </c>
      <c r="AI140" s="9">
        <v>8</v>
      </c>
      <c r="AJ140" s="9">
        <v>9</v>
      </c>
      <c r="AK140" s="9">
        <v>1</v>
      </c>
      <c r="AL140" s="9">
        <v>0</v>
      </c>
      <c r="AM140" s="9">
        <v>7</v>
      </c>
      <c r="AN140" s="9">
        <v>2</v>
      </c>
      <c r="AO140" s="9">
        <v>0</v>
      </c>
      <c r="AP140" s="9">
        <v>7</v>
      </c>
      <c r="AQ140" s="8">
        <v>7</v>
      </c>
      <c r="AR140" s="8">
        <v>7</v>
      </c>
      <c r="AS140" s="8">
        <v>6</v>
      </c>
      <c r="AT140">
        <v>1</v>
      </c>
      <c r="AU140">
        <v>4</v>
      </c>
      <c r="AV140">
        <v>180</v>
      </c>
      <c r="AW140">
        <v>1</v>
      </c>
      <c r="AX140">
        <f t="shared" si="4"/>
        <v>65</v>
      </c>
      <c r="AY140" s="8">
        <v>0</v>
      </c>
      <c r="AZ140" s="8">
        <v>0</v>
      </c>
      <c r="BA140" s="8">
        <v>1</v>
      </c>
      <c r="BB140" s="9">
        <v>0</v>
      </c>
      <c r="BC140" s="27">
        <v>0</v>
      </c>
      <c r="BD140">
        <v>1</v>
      </c>
      <c r="BE140">
        <v>1</v>
      </c>
      <c r="BF140">
        <v>0</v>
      </c>
    </row>
    <row r="141" spans="1:58" x14ac:dyDescent="0.25">
      <c r="A141" s="9" t="s">
        <v>203</v>
      </c>
      <c r="B141" s="9" t="s">
        <v>204</v>
      </c>
      <c r="C141" s="9" t="s">
        <v>60</v>
      </c>
      <c r="D141" s="9" t="s">
        <v>61</v>
      </c>
      <c r="E141" s="9" t="s">
        <v>107</v>
      </c>
      <c r="F141" s="9" t="s">
        <v>109</v>
      </c>
      <c r="G141" s="9" t="s">
        <v>107</v>
      </c>
      <c r="H141" s="9" t="s">
        <v>108</v>
      </c>
      <c r="I141" s="9" t="s">
        <v>205</v>
      </c>
      <c r="J141" s="28" t="s">
        <v>206</v>
      </c>
      <c r="K141" s="9">
        <v>10</v>
      </c>
      <c r="L141" s="9">
        <v>10</v>
      </c>
      <c r="M141" s="9">
        <v>182</v>
      </c>
      <c r="N141" s="9">
        <v>218</v>
      </c>
      <c r="O141" s="9">
        <v>164</v>
      </c>
      <c r="P141" s="9">
        <v>564</v>
      </c>
      <c r="Q141" s="26">
        <v>32</v>
      </c>
      <c r="R141" s="26">
        <v>48</v>
      </c>
      <c r="S141">
        <v>1</v>
      </c>
      <c r="T141">
        <v>0</v>
      </c>
      <c r="U141">
        <v>0</v>
      </c>
      <c r="V141">
        <v>1</v>
      </c>
      <c r="W141">
        <v>1</v>
      </c>
      <c r="X141">
        <v>1</v>
      </c>
      <c r="Y141"/>
      <c r="Z141">
        <v>1</v>
      </c>
      <c r="AA141">
        <v>1</v>
      </c>
      <c r="AB141">
        <v>0</v>
      </c>
      <c r="AC141">
        <v>0</v>
      </c>
      <c r="AD141">
        <v>0</v>
      </c>
      <c r="AE141">
        <v>0</v>
      </c>
      <c r="AF141">
        <v>5</v>
      </c>
      <c r="AG141" s="9">
        <v>27</v>
      </c>
      <c r="AH141" s="9">
        <v>16</v>
      </c>
      <c r="AI141" s="9">
        <v>11</v>
      </c>
      <c r="AJ141" s="9">
        <v>5</v>
      </c>
      <c r="AK141" s="9">
        <v>3</v>
      </c>
      <c r="AL141" s="9">
        <v>0</v>
      </c>
      <c r="AM141" s="9">
        <v>8</v>
      </c>
      <c r="AN141" s="9">
        <v>0</v>
      </c>
      <c r="AO141" s="9">
        <v>0</v>
      </c>
      <c r="AP141" s="9">
        <v>5</v>
      </c>
      <c r="AQ141" s="8">
        <v>5</v>
      </c>
      <c r="AR141" s="8">
        <v>10</v>
      </c>
      <c r="AS141" s="8">
        <v>5</v>
      </c>
      <c r="AT141">
        <v>1</v>
      </c>
      <c r="AU141">
        <v>3</v>
      </c>
      <c r="AV141">
        <v>135</v>
      </c>
      <c r="AW141">
        <v>1</v>
      </c>
      <c r="AX141">
        <f t="shared" si="4"/>
        <v>65</v>
      </c>
      <c r="AY141" s="8">
        <v>0</v>
      </c>
      <c r="AZ141" s="8">
        <v>0</v>
      </c>
      <c r="BA141" s="8">
        <v>1</v>
      </c>
      <c r="BB141" s="9">
        <v>0</v>
      </c>
      <c r="BC141" s="27">
        <v>0</v>
      </c>
      <c r="BD141">
        <v>1</v>
      </c>
      <c r="BE141">
        <v>1</v>
      </c>
      <c r="BF141">
        <v>0</v>
      </c>
    </row>
    <row r="142" spans="1:58" x14ac:dyDescent="0.25">
      <c r="A142" s="9" t="s">
        <v>107</v>
      </c>
      <c r="B142" s="9" t="s">
        <v>108</v>
      </c>
      <c r="C142" s="9" t="s">
        <v>60</v>
      </c>
      <c r="D142" s="9" t="s">
        <v>61</v>
      </c>
      <c r="E142" s="9" t="s">
        <v>107</v>
      </c>
      <c r="F142" s="9" t="s">
        <v>109</v>
      </c>
      <c r="G142" s="9" t="s">
        <v>107</v>
      </c>
      <c r="H142" s="9" t="s">
        <v>108</v>
      </c>
      <c r="I142" s="9" t="s">
        <v>110</v>
      </c>
      <c r="J142" s="28" t="s">
        <v>111</v>
      </c>
      <c r="K142" s="9">
        <v>9</v>
      </c>
      <c r="L142" s="9">
        <v>9</v>
      </c>
      <c r="M142" s="9">
        <v>205</v>
      </c>
      <c r="N142" s="9">
        <v>238</v>
      </c>
      <c r="O142" s="9">
        <v>71</v>
      </c>
      <c r="P142" s="9">
        <v>514</v>
      </c>
      <c r="Q142" s="26">
        <v>32</v>
      </c>
      <c r="R142" s="26">
        <v>48</v>
      </c>
      <c r="S142">
        <v>1</v>
      </c>
      <c r="T142">
        <v>0</v>
      </c>
      <c r="U142">
        <v>0</v>
      </c>
      <c r="V142">
        <v>1</v>
      </c>
      <c r="W142">
        <v>1</v>
      </c>
      <c r="X142">
        <v>1</v>
      </c>
      <c r="Y142"/>
      <c r="Z142">
        <v>1</v>
      </c>
      <c r="AA142">
        <v>1</v>
      </c>
      <c r="AB142">
        <v>0</v>
      </c>
      <c r="AC142">
        <v>0</v>
      </c>
      <c r="AD142">
        <v>0</v>
      </c>
      <c r="AE142">
        <v>0</v>
      </c>
      <c r="AF142">
        <v>5</v>
      </c>
      <c r="AG142" s="9">
        <v>31</v>
      </c>
      <c r="AH142" s="9">
        <v>12</v>
      </c>
      <c r="AI142" s="9">
        <v>6</v>
      </c>
      <c r="AJ142" s="9">
        <v>6</v>
      </c>
      <c r="AK142" s="9">
        <v>4</v>
      </c>
      <c r="AL142" s="9">
        <v>0</v>
      </c>
      <c r="AM142" s="9">
        <v>2</v>
      </c>
      <c r="AN142" s="9">
        <v>3</v>
      </c>
      <c r="AO142" s="9">
        <v>0</v>
      </c>
      <c r="AP142" s="9">
        <v>3</v>
      </c>
      <c r="AQ142" s="8">
        <v>3</v>
      </c>
      <c r="AR142" s="8">
        <v>4</v>
      </c>
      <c r="AS142" s="8">
        <v>1</v>
      </c>
      <c r="AT142">
        <v>1</v>
      </c>
      <c r="AU142">
        <v>3</v>
      </c>
      <c r="AV142">
        <v>135</v>
      </c>
      <c r="AW142">
        <v>1</v>
      </c>
      <c r="AX142">
        <f t="shared" si="4"/>
        <v>65</v>
      </c>
      <c r="AY142" s="8">
        <v>0</v>
      </c>
      <c r="AZ142" s="8">
        <v>0</v>
      </c>
      <c r="BA142" s="8">
        <v>0</v>
      </c>
      <c r="BB142" s="9">
        <v>0</v>
      </c>
      <c r="BC142" s="27">
        <v>0</v>
      </c>
      <c r="BD142">
        <v>1</v>
      </c>
      <c r="BE142">
        <v>1</v>
      </c>
      <c r="BF142">
        <v>0</v>
      </c>
    </row>
    <row r="143" spans="1:58" x14ac:dyDescent="0.25">
      <c r="A143" s="9" t="s">
        <v>107</v>
      </c>
      <c r="B143" s="9" t="s">
        <v>108</v>
      </c>
      <c r="C143" s="9" t="s">
        <v>60</v>
      </c>
      <c r="D143" s="9" t="s">
        <v>61</v>
      </c>
      <c r="E143" s="9" t="s">
        <v>107</v>
      </c>
      <c r="F143" s="9" t="s">
        <v>109</v>
      </c>
      <c r="G143" s="9" t="s">
        <v>212</v>
      </c>
      <c r="H143" s="9" t="s">
        <v>213</v>
      </c>
      <c r="I143" s="9" t="s">
        <v>214</v>
      </c>
      <c r="J143" s="28" t="s">
        <v>215</v>
      </c>
      <c r="K143" s="9">
        <v>9</v>
      </c>
      <c r="L143" s="9">
        <v>9</v>
      </c>
      <c r="M143" s="9">
        <v>211</v>
      </c>
      <c r="N143" s="9">
        <v>224</v>
      </c>
      <c r="O143" s="9">
        <v>129</v>
      </c>
      <c r="P143" s="9">
        <v>564</v>
      </c>
      <c r="Q143" s="26">
        <v>32</v>
      </c>
      <c r="R143" s="26">
        <v>48</v>
      </c>
      <c r="S143">
        <v>1</v>
      </c>
      <c r="T143">
        <v>0</v>
      </c>
      <c r="U143">
        <v>0</v>
      </c>
      <c r="V143">
        <v>1</v>
      </c>
      <c r="W143">
        <v>1</v>
      </c>
      <c r="X143">
        <v>1</v>
      </c>
      <c r="Y143"/>
      <c r="Z143">
        <v>1</v>
      </c>
      <c r="AA143">
        <v>1</v>
      </c>
      <c r="AB143">
        <v>0</v>
      </c>
      <c r="AC143">
        <v>0</v>
      </c>
      <c r="AD143">
        <v>0</v>
      </c>
      <c r="AE143">
        <v>0</v>
      </c>
      <c r="AF143">
        <v>5</v>
      </c>
      <c r="AG143" s="9">
        <v>62</v>
      </c>
      <c r="AH143" s="9">
        <v>16</v>
      </c>
      <c r="AI143" s="9">
        <v>8</v>
      </c>
      <c r="AJ143" s="9">
        <v>8</v>
      </c>
      <c r="AK143" s="9">
        <v>2</v>
      </c>
      <c r="AL143" s="9">
        <v>0</v>
      </c>
      <c r="AM143" s="9">
        <v>6</v>
      </c>
      <c r="AN143" s="9">
        <v>0</v>
      </c>
      <c r="AO143" s="9">
        <v>1</v>
      </c>
      <c r="AP143" s="9">
        <v>7</v>
      </c>
      <c r="AQ143" s="8">
        <v>8</v>
      </c>
      <c r="AR143" s="8">
        <v>6</v>
      </c>
      <c r="AS143" s="8">
        <v>5</v>
      </c>
      <c r="AT143">
        <v>1</v>
      </c>
      <c r="AU143">
        <v>3</v>
      </c>
      <c r="AV143">
        <v>135</v>
      </c>
      <c r="AW143">
        <v>1</v>
      </c>
      <c r="AX143">
        <f t="shared" si="4"/>
        <v>65</v>
      </c>
      <c r="AY143" s="8">
        <v>0</v>
      </c>
      <c r="AZ143" s="8">
        <v>0</v>
      </c>
      <c r="BA143" s="8">
        <v>0</v>
      </c>
      <c r="BB143" s="9">
        <v>0</v>
      </c>
      <c r="BC143" s="27">
        <v>0</v>
      </c>
      <c r="BD143">
        <v>1</v>
      </c>
      <c r="BE143">
        <v>1</v>
      </c>
      <c r="BF143">
        <v>0</v>
      </c>
    </row>
    <row r="144" spans="1:58" x14ac:dyDescent="0.25">
      <c r="A144" s="9" t="s">
        <v>229</v>
      </c>
      <c r="B144" s="9" t="s">
        <v>230</v>
      </c>
      <c r="C144" s="9" t="s">
        <v>60</v>
      </c>
      <c r="D144" s="9" t="s">
        <v>61</v>
      </c>
      <c r="E144" s="9" t="s">
        <v>107</v>
      </c>
      <c r="F144" s="9" t="s">
        <v>109</v>
      </c>
      <c r="G144" s="9" t="s">
        <v>229</v>
      </c>
      <c r="H144" s="9" t="s">
        <v>230</v>
      </c>
      <c r="I144" s="9" t="s">
        <v>408</v>
      </c>
      <c r="J144" s="28" t="s">
        <v>409</v>
      </c>
      <c r="K144" s="9">
        <v>10</v>
      </c>
      <c r="L144" s="9">
        <v>10</v>
      </c>
      <c r="M144" s="9">
        <v>191</v>
      </c>
      <c r="N144" s="9">
        <v>223</v>
      </c>
      <c r="O144" s="9">
        <v>76</v>
      </c>
      <c r="P144" s="9">
        <v>490</v>
      </c>
      <c r="Q144" s="26">
        <v>32</v>
      </c>
      <c r="R144" s="26">
        <v>48</v>
      </c>
      <c r="S144">
        <v>1</v>
      </c>
      <c r="T144">
        <v>0</v>
      </c>
      <c r="U144">
        <v>0</v>
      </c>
      <c r="V144">
        <v>1</v>
      </c>
      <c r="W144">
        <v>1</v>
      </c>
      <c r="X144">
        <v>1</v>
      </c>
      <c r="Y144"/>
      <c r="Z144">
        <v>1</v>
      </c>
      <c r="AA144">
        <v>1</v>
      </c>
      <c r="AB144">
        <v>0</v>
      </c>
      <c r="AC144">
        <v>0</v>
      </c>
      <c r="AD144">
        <v>0</v>
      </c>
      <c r="AE144">
        <v>0</v>
      </c>
      <c r="AF144">
        <v>5</v>
      </c>
      <c r="AG144" s="9">
        <v>42</v>
      </c>
      <c r="AH144" s="9">
        <v>16</v>
      </c>
      <c r="AI144" s="9">
        <v>7</v>
      </c>
      <c r="AJ144" s="9">
        <v>9</v>
      </c>
      <c r="AK144" s="9">
        <v>2</v>
      </c>
      <c r="AL144" s="9">
        <v>0</v>
      </c>
      <c r="AM144" s="9">
        <v>5</v>
      </c>
      <c r="AN144" s="9">
        <v>1</v>
      </c>
      <c r="AO144" s="9">
        <v>0</v>
      </c>
      <c r="AP144" s="9">
        <v>8</v>
      </c>
      <c r="AQ144" s="8">
        <v>8</v>
      </c>
      <c r="AR144" s="8">
        <v>8</v>
      </c>
      <c r="AS144" s="8">
        <v>5</v>
      </c>
      <c r="AT144">
        <v>1</v>
      </c>
      <c r="AU144">
        <v>3</v>
      </c>
      <c r="AV144">
        <v>135</v>
      </c>
      <c r="AW144">
        <v>1</v>
      </c>
      <c r="AX144">
        <f t="shared" si="4"/>
        <v>65</v>
      </c>
      <c r="AY144" s="8">
        <v>0</v>
      </c>
      <c r="AZ144" s="8">
        <v>0</v>
      </c>
      <c r="BA144" s="8">
        <v>1</v>
      </c>
      <c r="BB144" s="9">
        <v>0</v>
      </c>
      <c r="BC144" s="27">
        <v>0</v>
      </c>
      <c r="BD144">
        <v>1</v>
      </c>
      <c r="BE144">
        <v>1</v>
      </c>
      <c r="BF144">
        <v>0</v>
      </c>
    </row>
  </sheetData>
  <mergeCells count="25">
    <mergeCell ref="A1:J1"/>
    <mergeCell ref="A2:A4"/>
    <mergeCell ref="B2:B4"/>
    <mergeCell ref="C2:C4"/>
    <mergeCell ref="D2:D4"/>
    <mergeCell ref="E2:E4"/>
    <mergeCell ref="F2:F4"/>
    <mergeCell ref="G2:G4"/>
    <mergeCell ref="H2:H4"/>
    <mergeCell ref="I2:I4"/>
    <mergeCell ref="J2:J4"/>
    <mergeCell ref="AG2:BF2"/>
    <mergeCell ref="AT3:AX3"/>
    <mergeCell ref="AY3:BB3"/>
    <mergeCell ref="BC3:BF3"/>
    <mergeCell ref="W3:Z3"/>
    <mergeCell ref="AA3:AB3"/>
    <mergeCell ref="AC3:AE3"/>
    <mergeCell ref="AG3:AJ3"/>
    <mergeCell ref="AK3:AS3"/>
    <mergeCell ref="K3:L3"/>
    <mergeCell ref="M3:P3"/>
    <mergeCell ref="Q3:R3"/>
    <mergeCell ref="S3:V3"/>
    <mergeCell ref="K2:AF2"/>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0"/>
  <sheetViews>
    <sheetView topLeftCell="A14" workbookViewId="0">
      <selection activeCell="H28" sqref="H28"/>
    </sheetView>
  </sheetViews>
  <sheetFormatPr defaultRowHeight="15" x14ac:dyDescent="0.25"/>
  <cols>
    <col min="1" max="1" width="12.140625" style="1" bestFit="1" customWidth="1"/>
    <col min="2" max="2" width="11.5703125" style="1" bestFit="1" customWidth="1"/>
    <col min="3" max="3" width="30.140625" style="1" bestFit="1" customWidth="1"/>
    <col min="4" max="4" width="12.140625" style="1" bestFit="1" customWidth="1"/>
    <col min="5" max="8" width="8.85546875" style="1" bestFit="1" customWidth="1"/>
  </cols>
  <sheetData>
    <row r="1" spans="1:8" x14ac:dyDescent="0.25">
      <c r="A1" s="36" t="s">
        <v>434</v>
      </c>
      <c r="B1" s="36"/>
      <c r="C1" s="36"/>
      <c r="D1" s="36"/>
      <c r="E1" s="36"/>
      <c r="F1" s="36"/>
      <c r="G1" s="36"/>
      <c r="H1" s="36"/>
    </row>
    <row r="2" spans="1:8" x14ac:dyDescent="0.25">
      <c r="A2" s="40" t="s">
        <v>435</v>
      </c>
      <c r="B2" s="32"/>
      <c r="C2" s="32"/>
      <c r="D2" s="32"/>
      <c r="E2" s="32"/>
      <c r="F2" s="32"/>
      <c r="G2" s="32"/>
      <c r="H2" s="32"/>
    </row>
    <row r="3" spans="1:8" x14ac:dyDescent="0.25">
      <c r="A3" s="39" t="s">
        <v>3</v>
      </c>
      <c r="B3" s="39" t="s">
        <v>4</v>
      </c>
      <c r="C3" s="39" t="s">
        <v>436</v>
      </c>
      <c r="D3" s="39" t="s">
        <v>437</v>
      </c>
      <c r="E3" s="39" t="s">
        <v>438</v>
      </c>
      <c r="F3" s="39"/>
      <c r="G3" s="39"/>
      <c r="H3" s="39"/>
    </row>
    <row r="4" spans="1:8" x14ac:dyDescent="0.25">
      <c r="A4" s="39"/>
      <c r="B4" s="39"/>
      <c r="C4" s="39"/>
      <c r="D4" s="39"/>
      <c r="E4" s="2" t="s">
        <v>439</v>
      </c>
      <c r="F4" s="2" t="s">
        <v>440</v>
      </c>
      <c r="G4" s="2" t="s">
        <v>441</v>
      </c>
      <c r="H4" s="2" t="s">
        <v>442</v>
      </c>
    </row>
    <row r="5" spans="1:8" x14ac:dyDescent="0.25">
      <c r="A5" s="11" t="s">
        <v>60</v>
      </c>
      <c r="B5" s="11" t="s">
        <v>61</v>
      </c>
      <c r="C5" s="11" t="s">
        <v>443</v>
      </c>
      <c r="D5" s="11">
        <v>0</v>
      </c>
      <c r="E5" s="12">
        <v>0</v>
      </c>
      <c r="F5" s="12">
        <v>0</v>
      </c>
      <c r="G5" s="12">
        <v>0</v>
      </c>
      <c r="H5" s="11">
        <v>176</v>
      </c>
    </row>
    <row r="6" spans="1:8" x14ac:dyDescent="0.25">
      <c r="A6" s="11" t="s">
        <v>60</v>
      </c>
      <c r="B6" s="11" t="s">
        <v>61</v>
      </c>
      <c r="C6" s="11" t="s">
        <v>444</v>
      </c>
      <c r="D6" s="11">
        <v>0</v>
      </c>
      <c r="E6" s="11">
        <v>36</v>
      </c>
      <c r="F6" s="12">
        <v>0</v>
      </c>
      <c r="G6" s="12">
        <v>0</v>
      </c>
      <c r="H6" s="12">
        <v>0</v>
      </c>
    </row>
    <row r="7" spans="1:8" x14ac:dyDescent="0.25">
      <c r="A7" s="11" t="s">
        <v>60</v>
      </c>
      <c r="B7" s="11" t="s">
        <v>61</v>
      </c>
      <c r="C7" s="11" t="s">
        <v>445</v>
      </c>
      <c r="D7" s="11">
        <v>0</v>
      </c>
      <c r="E7" s="11">
        <v>176</v>
      </c>
      <c r="F7" s="11">
        <v>0</v>
      </c>
      <c r="G7" s="11">
        <v>0</v>
      </c>
      <c r="H7" s="11">
        <v>0</v>
      </c>
    </row>
    <row r="8" spans="1:8" x14ac:dyDescent="0.25">
      <c r="A8" s="11" t="s">
        <v>60</v>
      </c>
      <c r="B8" s="11" t="s">
        <v>61</v>
      </c>
      <c r="C8" s="11" t="s">
        <v>446</v>
      </c>
      <c r="D8" s="11">
        <v>0</v>
      </c>
      <c r="E8" s="11">
        <v>0</v>
      </c>
      <c r="F8" s="11">
        <v>176</v>
      </c>
      <c r="G8" s="12">
        <v>0</v>
      </c>
      <c r="H8" s="12">
        <v>0</v>
      </c>
    </row>
    <row r="9" spans="1:8" x14ac:dyDescent="0.25">
      <c r="A9" s="11" t="s">
        <v>60</v>
      </c>
      <c r="B9" s="11" t="s">
        <v>61</v>
      </c>
      <c r="C9" s="11" t="s">
        <v>447</v>
      </c>
      <c r="D9" s="11">
        <v>0</v>
      </c>
      <c r="E9" s="11">
        <v>0</v>
      </c>
      <c r="F9" s="11">
        <v>176</v>
      </c>
      <c r="G9" s="11">
        <v>0</v>
      </c>
      <c r="H9" s="11">
        <v>0</v>
      </c>
    </row>
    <row r="10" spans="1:8" x14ac:dyDescent="0.25">
      <c r="A10" s="11" t="s">
        <v>60</v>
      </c>
      <c r="B10" s="11" t="s">
        <v>61</v>
      </c>
      <c r="C10" s="11" t="s">
        <v>448</v>
      </c>
      <c r="D10" s="11">
        <v>0</v>
      </c>
      <c r="E10" s="11">
        <v>0</v>
      </c>
      <c r="F10" s="11">
        <v>0</v>
      </c>
      <c r="G10" s="11">
        <v>176</v>
      </c>
      <c r="H10" s="11">
        <v>0</v>
      </c>
    </row>
    <row r="11" spans="1:8" x14ac:dyDescent="0.25">
      <c r="A11" s="11" t="s">
        <v>60</v>
      </c>
      <c r="B11" s="11" t="s">
        <v>61</v>
      </c>
      <c r="C11" s="11" t="s">
        <v>449</v>
      </c>
      <c r="D11" s="11">
        <v>0</v>
      </c>
      <c r="E11" s="11">
        <v>0</v>
      </c>
      <c r="F11" s="11">
        <v>0</v>
      </c>
      <c r="G11" s="11">
        <v>0</v>
      </c>
      <c r="H11" s="11">
        <v>0</v>
      </c>
    </row>
    <row r="12" spans="1:8" x14ac:dyDescent="0.25">
      <c r="A12" s="11" t="s">
        <v>60</v>
      </c>
      <c r="B12" s="11" t="s">
        <v>61</v>
      </c>
      <c r="C12" s="11" t="s">
        <v>450</v>
      </c>
      <c r="D12" s="11">
        <v>0</v>
      </c>
      <c r="E12" s="12">
        <v>0</v>
      </c>
      <c r="F12" s="12">
        <v>0</v>
      </c>
      <c r="G12" s="12">
        <v>0</v>
      </c>
      <c r="H12" s="13">
        <v>176</v>
      </c>
    </row>
    <row r="13" spans="1:8" x14ac:dyDescent="0.25">
      <c r="A13" s="11" t="s">
        <v>60</v>
      </c>
      <c r="B13" s="11" t="s">
        <v>61</v>
      </c>
      <c r="C13" s="11" t="s">
        <v>451</v>
      </c>
      <c r="D13" s="11">
        <v>0</v>
      </c>
      <c r="E13" s="11">
        <v>0</v>
      </c>
      <c r="F13" s="11">
        <v>176</v>
      </c>
      <c r="G13" s="11">
        <v>0</v>
      </c>
      <c r="H13" s="12">
        <v>0</v>
      </c>
    </row>
    <row r="14" spans="1:8" x14ac:dyDescent="0.25">
      <c r="A14" s="11" t="s">
        <v>60</v>
      </c>
      <c r="B14" s="11" t="s">
        <v>61</v>
      </c>
      <c r="C14" s="11" t="s">
        <v>452</v>
      </c>
      <c r="D14" s="11">
        <v>0</v>
      </c>
      <c r="E14" s="11">
        <v>176</v>
      </c>
      <c r="F14" s="11">
        <v>0</v>
      </c>
      <c r="G14" s="11">
        <v>0</v>
      </c>
      <c r="H14" s="11">
        <v>0</v>
      </c>
    </row>
    <row r="15" spans="1:8" x14ac:dyDescent="0.25">
      <c r="A15" s="11" t="s">
        <v>60</v>
      </c>
      <c r="B15" s="11" t="s">
        <v>61</v>
      </c>
      <c r="C15" s="11" t="s">
        <v>453</v>
      </c>
      <c r="D15" s="11">
        <v>0</v>
      </c>
      <c r="E15" s="11">
        <v>11</v>
      </c>
      <c r="F15" s="11">
        <v>0</v>
      </c>
      <c r="G15" s="11">
        <v>0</v>
      </c>
      <c r="H15" s="11">
        <v>0</v>
      </c>
    </row>
    <row r="16" spans="1:8" x14ac:dyDescent="0.25">
      <c r="A16" s="11" t="s">
        <v>60</v>
      </c>
      <c r="B16" s="11" t="s">
        <v>61</v>
      </c>
      <c r="C16" s="11" t="s">
        <v>454</v>
      </c>
      <c r="D16" s="11">
        <v>0</v>
      </c>
      <c r="E16" s="11">
        <v>917</v>
      </c>
      <c r="F16" s="12">
        <v>0</v>
      </c>
      <c r="G16" s="12">
        <v>0</v>
      </c>
      <c r="H16" s="12">
        <v>0</v>
      </c>
    </row>
    <row r="17" spans="1:8" x14ac:dyDescent="0.25">
      <c r="A17" s="11" t="s">
        <v>60</v>
      </c>
      <c r="B17" s="11" t="s">
        <v>61</v>
      </c>
      <c r="C17" s="14" t="s">
        <v>455</v>
      </c>
      <c r="D17" s="11">
        <v>0</v>
      </c>
      <c r="E17" s="11">
        <v>0</v>
      </c>
      <c r="F17" s="11">
        <v>398</v>
      </c>
      <c r="G17" s="11">
        <v>0</v>
      </c>
      <c r="H17" s="11">
        <v>0</v>
      </c>
    </row>
    <row r="18" spans="1:8" x14ac:dyDescent="0.25">
      <c r="A18" s="11" t="s">
        <v>60</v>
      </c>
      <c r="B18" s="11" t="s">
        <v>61</v>
      </c>
      <c r="C18" s="14" t="s">
        <v>456</v>
      </c>
      <c r="D18" s="11">
        <v>0</v>
      </c>
      <c r="E18" s="11">
        <v>0</v>
      </c>
      <c r="F18" s="11">
        <v>0</v>
      </c>
      <c r="G18" s="11">
        <v>398</v>
      </c>
      <c r="H18" s="11">
        <v>0</v>
      </c>
    </row>
    <row r="19" spans="1:8" x14ac:dyDescent="0.25">
      <c r="A19" s="11" t="s">
        <v>60</v>
      </c>
      <c r="B19" s="11" t="s">
        <v>61</v>
      </c>
      <c r="C19" s="14" t="s">
        <v>457</v>
      </c>
      <c r="D19" s="11">
        <v>0</v>
      </c>
      <c r="E19" s="11">
        <v>0</v>
      </c>
      <c r="F19" s="11">
        <v>0</v>
      </c>
      <c r="G19" s="11">
        <v>0</v>
      </c>
      <c r="H19" s="11">
        <v>0</v>
      </c>
    </row>
    <row r="20" spans="1:8" x14ac:dyDescent="0.25">
      <c r="A20" s="11" t="s">
        <v>60</v>
      </c>
      <c r="B20" s="11" t="s">
        <v>61</v>
      </c>
      <c r="C20" s="14" t="s">
        <v>458</v>
      </c>
      <c r="D20" s="11">
        <v>0</v>
      </c>
      <c r="E20" s="11">
        <v>80</v>
      </c>
      <c r="F20" s="11">
        <v>30</v>
      </c>
      <c r="G20" s="11">
        <v>43</v>
      </c>
      <c r="H20" s="11">
        <v>0</v>
      </c>
    </row>
    <row r="21" spans="1:8" ht="26.25" customHeight="1" x14ac:dyDescent="0.25">
      <c r="A21" s="11" t="s">
        <v>60</v>
      </c>
      <c r="B21" s="11" t="s">
        <v>61</v>
      </c>
      <c r="C21" s="14" t="s">
        <v>459</v>
      </c>
      <c r="D21" s="11">
        <v>0</v>
      </c>
      <c r="E21" s="11">
        <v>0</v>
      </c>
      <c r="F21" s="11">
        <v>76</v>
      </c>
      <c r="G21" s="11">
        <v>76</v>
      </c>
      <c r="H21" s="11">
        <v>0</v>
      </c>
    </row>
    <row r="22" spans="1:8" x14ac:dyDescent="0.25">
      <c r="A22" s="11" t="s">
        <v>60</v>
      </c>
      <c r="B22" s="11" t="s">
        <v>61</v>
      </c>
      <c r="C22" s="14" t="s">
        <v>460</v>
      </c>
      <c r="D22" s="11">
        <v>0</v>
      </c>
      <c r="E22" s="11">
        <v>0</v>
      </c>
      <c r="F22" s="11">
        <v>0</v>
      </c>
      <c r="G22" s="11">
        <v>0</v>
      </c>
      <c r="H22" s="11">
        <v>0</v>
      </c>
    </row>
    <row r="23" spans="1:8" x14ac:dyDescent="0.25">
      <c r="A23" s="11" t="s">
        <v>60</v>
      </c>
      <c r="B23" s="11" t="s">
        <v>61</v>
      </c>
      <c r="C23" s="11" t="s">
        <v>461</v>
      </c>
      <c r="D23" s="11">
        <v>0</v>
      </c>
      <c r="E23" s="11">
        <v>0</v>
      </c>
      <c r="F23" s="11">
        <v>0</v>
      </c>
      <c r="G23" s="11">
        <v>0</v>
      </c>
      <c r="H23" s="11">
        <v>10</v>
      </c>
    </row>
    <row r="24" spans="1:8" x14ac:dyDescent="0.25">
      <c r="A24" s="11" t="s">
        <v>60</v>
      </c>
      <c r="B24" s="11" t="s">
        <v>61</v>
      </c>
      <c r="C24" s="11" t="s">
        <v>462</v>
      </c>
      <c r="D24" s="11">
        <v>0</v>
      </c>
      <c r="E24" s="11">
        <v>0</v>
      </c>
      <c r="F24" s="11">
        <v>10</v>
      </c>
      <c r="G24" s="11">
        <v>0</v>
      </c>
      <c r="H24" s="11">
        <v>0</v>
      </c>
    </row>
    <row r="25" spans="1:8" x14ac:dyDescent="0.25">
      <c r="A25" s="11" t="s">
        <v>60</v>
      </c>
      <c r="B25" s="11" t="s">
        <v>61</v>
      </c>
      <c r="C25" s="11" t="s">
        <v>463</v>
      </c>
      <c r="D25" s="11">
        <v>0</v>
      </c>
      <c r="E25" s="11">
        <v>0</v>
      </c>
      <c r="F25" s="11">
        <v>0</v>
      </c>
      <c r="G25" s="11">
        <v>10</v>
      </c>
      <c r="H25" s="11">
        <v>0</v>
      </c>
    </row>
    <row r="26" spans="1:8" x14ac:dyDescent="0.25">
      <c r="A26" s="11" t="s">
        <v>60</v>
      </c>
      <c r="B26" s="11" t="s">
        <v>61</v>
      </c>
      <c r="C26" s="11" t="s">
        <v>464</v>
      </c>
      <c r="D26" s="11">
        <v>0</v>
      </c>
      <c r="E26" s="11">
        <v>0</v>
      </c>
      <c r="F26" s="11">
        <v>0</v>
      </c>
      <c r="G26" s="11">
        <v>0</v>
      </c>
      <c r="H26" s="11">
        <v>0</v>
      </c>
    </row>
    <row r="27" spans="1:8" x14ac:dyDescent="0.25">
      <c r="A27" s="11" t="s">
        <v>60</v>
      </c>
      <c r="B27" s="11" t="s">
        <v>61</v>
      </c>
      <c r="C27" s="11" t="s">
        <v>465</v>
      </c>
      <c r="D27" s="11">
        <v>0</v>
      </c>
      <c r="E27" s="11">
        <v>0</v>
      </c>
      <c r="F27" s="11">
        <v>10</v>
      </c>
      <c r="G27" s="11">
        <v>0</v>
      </c>
      <c r="H27" s="11">
        <v>0</v>
      </c>
    </row>
    <row r="28" spans="1:8" x14ac:dyDescent="0.25">
      <c r="A28" s="11" t="s">
        <v>60</v>
      </c>
      <c r="B28" s="11" t="s">
        <v>61</v>
      </c>
      <c r="C28" s="11" t="s">
        <v>466</v>
      </c>
      <c r="D28" s="11">
        <v>0</v>
      </c>
      <c r="E28" s="11">
        <v>0</v>
      </c>
      <c r="F28" s="11">
        <v>176</v>
      </c>
      <c r="G28" s="11">
        <v>0</v>
      </c>
      <c r="H28" s="11">
        <v>0</v>
      </c>
    </row>
    <row r="29" spans="1:8" x14ac:dyDescent="0.25">
      <c r="A29" s="11" t="s">
        <v>60</v>
      </c>
      <c r="B29" s="11" t="s">
        <v>61</v>
      </c>
      <c r="C29" s="11" t="s">
        <v>467</v>
      </c>
      <c r="D29" s="11">
        <v>0</v>
      </c>
      <c r="E29" s="11">
        <v>0</v>
      </c>
      <c r="F29" s="11">
        <v>0</v>
      </c>
      <c r="G29" s="11">
        <v>176</v>
      </c>
      <c r="H29" s="11">
        <v>0</v>
      </c>
    </row>
    <row r="30" spans="1:8" x14ac:dyDescent="0.25">
      <c r="A30" s="11" t="s">
        <v>60</v>
      </c>
      <c r="B30" s="11" t="s">
        <v>61</v>
      </c>
      <c r="C30" s="11" t="s">
        <v>468</v>
      </c>
      <c r="D30" s="11">
        <v>0</v>
      </c>
      <c r="E30" s="11">
        <v>0</v>
      </c>
      <c r="F30" s="11">
        <v>0</v>
      </c>
      <c r="G30" s="11">
        <v>92</v>
      </c>
      <c r="H30" s="11">
        <v>0</v>
      </c>
    </row>
  </sheetData>
  <mergeCells count="7">
    <mergeCell ref="A1:H1"/>
    <mergeCell ref="A2:H2"/>
    <mergeCell ref="A3:A4"/>
    <mergeCell ref="B3:B4"/>
    <mergeCell ref="C3:C4"/>
    <mergeCell ref="D3:D4"/>
    <mergeCell ref="E3:H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0"/>
  <sheetViews>
    <sheetView showGridLines="0" topLeftCell="B1" workbookViewId="0">
      <selection activeCell="B7" sqref="B7:B8"/>
    </sheetView>
  </sheetViews>
  <sheetFormatPr defaultColWidth="20.85546875" defaultRowHeight="15" x14ac:dyDescent="0.25"/>
  <cols>
    <col min="1" max="1" width="20.85546875" style="25" customWidth="1"/>
    <col min="2" max="2" width="44.140625" style="1" bestFit="1" customWidth="1"/>
    <col min="3" max="3" width="38.140625" style="1" bestFit="1" customWidth="1"/>
    <col min="4" max="4" width="38.7109375" style="1" customWidth="1"/>
    <col min="5" max="5" width="172.5703125" style="1" bestFit="1" customWidth="1"/>
    <col min="6" max="6" width="20.85546875" style="1" customWidth="1"/>
    <col min="7" max="16384" width="20.85546875" style="1"/>
  </cols>
  <sheetData>
    <row r="1" spans="1:5" customFormat="1" ht="15.75" customHeight="1" thickBot="1" x14ac:dyDescent="0.3">
      <c r="A1" s="41" t="s">
        <v>11</v>
      </c>
      <c r="B1" s="41" t="s">
        <v>13</v>
      </c>
      <c r="C1" s="16" t="s">
        <v>26</v>
      </c>
      <c r="D1" s="8" t="s">
        <v>469</v>
      </c>
      <c r="E1" s="17" t="s">
        <v>470</v>
      </c>
    </row>
    <row r="2" spans="1:5" x14ac:dyDescent="0.25">
      <c r="A2" s="41"/>
      <c r="B2" s="41"/>
      <c r="C2" s="16" t="s">
        <v>27</v>
      </c>
      <c r="D2" s="8" t="s">
        <v>471</v>
      </c>
      <c r="E2" s="18" t="s">
        <v>472</v>
      </c>
    </row>
    <row r="3" spans="1:5" x14ac:dyDescent="0.25">
      <c r="A3" s="41"/>
      <c r="B3" s="41" t="s">
        <v>14</v>
      </c>
      <c r="C3" s="16" t="s">
        <v>28</v>
      </c>
      <c r="D3" s="8" t="s">
        <v>473</v>
      </c>
      <c r="E3" s="19" t="s">
        <v>474</v>
      </c>
    </row>
    <row r="4" spans="1:5" x14ac:dyDescent="0.25">
      <c r="A4" s="41"/>
      <c r="B4" s="41"/>
      <c r="C4" s="16" t="s">
        <v>29</v>
      </c>
      <c r="D4" s="8" t="s">
        <v>473</v>
      </c>
      <c r="E4" s="19" t="s">
        <v>475</v>
      </c>
    </row>
    <row r="5" spans="1:5" x14ac:dyDescent="0.25">
      <c r="A5" s="41"/>
      <c r="B5" s="41"/>
      <c r="C5" s="16" t="s">
        <v>30</v>
      </c>
      <c r="D5" s="8" t="s">
        <v>473</v>
      </c>
      <c r="E5" s="19" t="s">
        <v>476</v>
      </c>
    </row>
    <row r="6" spans="1:5" x14ac:dyDescent="0.25">
      <c r="A6" s="41"/>
      <c r="B6" s="41"/>
      <c r="C6" s="20" t="s">
        <v>31</v>
      </c>
      <c r="D6" s="8" t="s">
        <v>473</v>
      </c>
      <c r="E6" s="19" t="s">
        <v>477</v>
      </c>
    </row>
    <row r="7" spans="1:5" x14ac:dyDescent="0.25">
      <c r="A7" s="41"/>
      <c r="B7" s="41" t="s">
        <v>478</v>
      </c>
      <c r="C7" s="21" t="s">
        <v>32</v>
      </c>
      <c r="D7" s="22" t="s">
        <v>479</v>
      </c>
      <c r="E7" s="19" t="s">
        <v>480</v>
      </c>
    </row>
    <row r="8" spans="1:5" x14ac:dyDescent="0.25">
      <c r="A8" s="41"/>
      <c r="B8" s="41"/>
      <c r="C8" s="21" t="s">
        <v>33</v>
      </c>
      <c r="D8" s="22" t="s">
        <v>479</v>
      </c>
      <c r="E8" s="19" t="s">
        <v>481</v>
      </c>
    </row>
    <row r="9" spans="1:5" customFormat="1" ht="15.75" customHeight="1" thickBot="1" x14ac:dyDescent="0.3">
      <c r="A9" s="41"/>
      <c r="B9" s="41" t="s">
        <v>16</v>
      </c>
      <c r="C9" s="21" t="s">
        <v>34</v>
      </c>
      <c r="D9" s="8" t="s">
        <v>482</v>
      </c>
      <c r="E9" s="23" t="s">
        <v>483</v>
      </c>
    </row>
    <row r="10" spans="1:5" customFormat="1" ht="15.75" customHeight="1" thickBot="1" x14ac:dyDescent="0.3">
      <c r="A10" s="41"/>
      <c r="B10" s="41"/>
      <c r="C10" s="21" t="s">
        <v>32</v>
      </c>
      <c r="D10" s="8" t="s">
        <v>482</v>
      </c>
      <c r="E10" s="17" t="s">
        <v>484</v>
      </c>
    </row>
    <row r="11" spans="1:5" x14ac:dyDescent="0.25">
      <c r="A11" s="41"/>
      <c r="B11" s="41"/>
      <c r="C11" s="21" t="s">
        <v>33</v>
      </c>
      <c r="D11" s="8" t="s">
        <v>482</v>
      </c>
    </row>
    <row r="12" spans="1:5" x14ac:dyDescent="0.25">
      <c r="A12" s="41"/>
      <c r="B12" s="41"/>
      <c r="C12" s="21" t="s">
        <v>35</v>
      </c>
      <c r="D12" s="8" t="s">
        <v>482</v>
      </c>
    </row>
    <row r="13" spans="1:5" x14ac:dyDescent="0.25">
      <c r="A13" s="41"/>
      <c r="B13" s="41" t="s">
        <v>17</v>
      </c>
      <c r="C13" s="21" t="s">
        <v>34</v>
      </c>
      <c r="D13" s="8" t="s">
        <v>482</v>
      </c>
    </row>
    <row r="14" spans="1:5" x14ac:dyDescent="0.25">
      <c r="A14" s="41"/>
      <c r="B14" s="41"/>
      <c r="C14" s="21" t="s">
        <v>32</v>
      </c>
      <c r="D14" s="8" t="s">
        <v>482</v>
      </c>
    </row>
    <row r="15" spans="1:5" x14ac:dyDescent="0.25">
      <c r="A15" s="41"/>
      <c r="B15" s="41"/>
      <c r="C15" s="21" t="s">
        <v>33</v>
      </c>
      <c r="D15" s="8" t="s">
        <v>482</v>
      </c>
    </row>
    <row r="16" spans="1:5" x14ac:dyDescent="0.25">
      <c r="A16" s="41"/>
      <c r="B16" s="41"/>
      <c r="C16" s="21" t="s">
        <v>35</v>
      </c>
      <c r="D16" s="8" t="s">
        <v>482</v>
      </c>
    </row>
    <row r="17" spans="1:4" x14ac:dyDescent="0.25">
      <c r="A17" s="41"/>
      <c r="B17" s="41" t="s">
        <v>18</v>
      </c>
      <c r="C17" s="21" t="s">
        <v>34</v>
      </c>
      <c r="D17" s="22" t="s">
        <v>485</v>
      </c>
    </row>
    <row r="18" spans="1:4" x14ac:dyDescent="0.25">
      <c r="A18" s="41"/>
      <c r="B18" s="41"/>
      <c r="C18" s="21" t="s">
        <v>32</v>
      </c>
      <c r="D18" s="22" t="s">
        <v>485</v>
      </c>
    </row>
    <row r="19" spans="1:4" x14ac:dyDescent="0.25">
      <c r="A19" s="41"/>
      <c r="B19" s="41"/>
      <c r="C19" s="21" t="s">
        <v>33</v>
      </c>
      <c r="D19" s="22" t="s">
        <v>485</v>
      </c>
    </row>
    <row r="20" spans="1:4" x14ac:dyDescent="0.25">
      <c r="A20" s="41"/>
      <c r="B20" s="41"/>
      <c r="C20" s="21" t="s">
        <v>35</v>
      </c>
      <c r="D20" s="22" t="s">
        <v>485</v>
      </c>
    </row>
    <row r="21" spans="1:4" x14ac:dyDescent="0.25">
      <c r="A21" s="41"/>
      <c r="B21" s="41" t="s">
        <v>19</v>
      </c>
      <c r="C21" s="21" t="s">
        <v>34</v>
      </c>
      <c r="D21" s="22" t="s">
        <v>486</v>
      </c>
    </row>
    <row r="22" spans="1:4" x14ac:dyDescent="0.25">
      <c r="A22" s="41"/>
      <c r="B22" s="41"/>
      <c r="C22" s="21" t="s">
        <v>32</v>
      </c>
      <c r="D22" s="22" t="s">
        <v>486</v>
      </c>
    </row>
    <row r="23" spans="1:4" x14ac:dyDescent="0.25">
      <c r="A23" s="41"/>
      <c r="B23" s="41"/>
      <c r="C23" s="21" t="s">
        <v>33</v>
      </c>
      <c r="D23" s="22" t="s">
        <v>486</v>
      </c>
    </row>
    <row r="24" spans="1:4" x14ac:dyDescent="0.25">
      <c r="A24" s="41"/>
      <c r="B24" s="15" t="s">
        <v>20</v>
      </c>
      <c r="C24" s="21" t="s">
        <v>34</v>
      </c>
      <c r="D24" s="22" t="s">
        <v>487</v>
      </c>
    </row>
    <row r="25" spans="1:4" x14ac:dyDescent="0.25">
      <c r="A25" s="41" t="s">
        <v>12</v>
      </c>
      <c r="B25" s="42" t="s">
        <v>21</v>
      </c>
      <c r="C25" s="16" t="s">
        <v>36</v>
      </c>
      <c r="D25" s="8" t="s">
        <v>488</v>
      </c>
    </row>
    <row r="26" spans="1:4" customFormat="1" ht="14.45" customHeight="1" x14ac:dyDescent="0.25">
      <c r="A26" s="41"/>
      <c r="B26" s="42"/>
      <c r="C26" s="16" t="s">
        <v>37</v>
      </c>
      <c r="D26" s="8" t="s">
        <v>489</v>
      </c>
    </row>
    <row r="27" spans="1:4" x14ac:dyDescent="0.25">
      <c r="A27" s="41"/>
      <c r="B27" s="42"/>
      <c r="C27" s="16" t="s">
        <v>38</v>
      </c>
      <c r="D27" s="8" t="s">
        <v>490</v>
      </c>
    </row>
    <row r="28" spans="1:4" x14ac:dyDescent="0.25">
      <c r="A28" s="41"/>
      <c r="B28" s="42"/>
      <c r="C28" s="16" t="s">
        <v>39</v>
      </c>
      <c r="D28" s="8" t="s">
        <v>490</v>
      </c>
    </row>
    <row r="29" spans="1:4" x14ac:dyDescent="0.25">
      <c r="A29" s="41"/>
      <c r="B29" s="42" t="s">
        <v>22</v>
      </c>
      <c r="C29" s="16" t="s">
        <v>40</v>
      </c>
      <c r="D29" s="22" t="s">
        <v>491</v>
      </c>
    </row>
    <row r="30" spans="1:4" x14ac:dyDescent="0.25">
      <c r="A30" s="41"/>
      <c r="B30" s="42"/>
      <c r="C30" s="16" t="s">
        <v>41</v>
      </c>
      <c r="D30" s="22" t="s">
        <v>491</v>
      </c>
    </row>
    <row r="31" spans="1:4" x14ac:dyDescent="0.25">
      <c r="A31" s="41"/>
      <c r="B31" s="42"/>
      <c r="C31" s="16" t="s">
        <v>42</v>
      </c>
      <c r="D31" s="22" t="s">
        <v>491</v>
      </c>
    </row>
    <row r="32" spans="1:4" x14ac:dyDescent="0.25">
      <c r="A32" s="41"/>
      <c r="B32" s="42"/>
      <c r="C32" s="16" t="s">
        <v>43</v>
      </c>
      <c r="D32" s="22" t="s">
        <v>491</v>
      </c>
    </row>
    <row r="33" spans="1:4" x14ac:dyDescent="0.25">
      <c r="A33" s="41"/>
      <c r="B33" s="42"/>
      <c r="C33" s="16" t="s">
        <v>44</v>
      </c>
      <c r="D33" s="22" t="s">
        <v>491</v>
      </c>
    </row>
    <row r="34" spans="1:4" x14ac:dyDescent="0.25">
      <c r="A34" s="41"/>
      <c r="B34" s="42"/>
      <c r="C34" s="16" t="s">
        <v>45</v>
      </c>
      <c r="D34" s="22" t="s">
        <v>491</v>
      </c>
    </row>
    <row r="35" spans="1:4" x14ac:dyDescent="0.25">
      <c r="A35" s="41"/>
      <c r="B35" s="42"/>
      <c r="C35" s="16" t="s">
        <v>46</v>
      </c>
      <c r="D35" s="22" t="s">
        <v>491</v>
      </c>
    </row>
    <row r="36" spans="1:4" x14ac:dyDescent="0.25">
      <c r="A36" s="41"/>
      <c r="B36" s="42"/>
      <c r="C36" s="16" t="s">
        <v>47</v>
      </c>
      <c r="D36" s="22" t="s">
        <v>491</v>
      </c>
    </row>
    <row r="37" spans="1:4" x14ac:dyDescent="0.25">
      <c r="A37" s="41"/>
      <c r="B37" s="42"/>
      <c r="C37" s="16" t="s">
        <v>48</v>
      </c>
      <c r="D37" s="22" t="s">
        <v>491</v>
      </c>
    </row>
    <row r="38" spans="1:4" x14ac:dyDescent="0.25">
      <c r="A38" s="41"/>
      <c r="B38" s="42" t="s">
        <v>23</v>
      </c>
      <c r="C38" s="21" t="s">
        <v>49</v>
      </c>
      <c r="D38" s="22" t="s">
        <v>482</v>
      </c>
    </row>
    <row r="39" spans="1:4" x14ac:dyDescent="0.25">
      <c r="A39" s="41"/>
      <c r="B39" s="42"/>
      <c r="C39" s="21" t="s">
        <v>50</v>
      </c>
      <c r="D39" s="22" t="s">
        <v>482</v>
      </c>
    </row>
    <row r="40" spans="1:4" x14ac:dyDescent="0.25">
      <c r="A40" s="41"/>
      <c r="B40" s="42"/>
      <c r="C40" s="21" t="s">
        <v>51</v>
      </c>
      <c r="D40" s="22" t="s">
        <v>482</v>
      </c>
    </row>
    <row r="41" spans="1:4" x14ac:dyDescent="0.25">
      <c r="A41" s="41"/>
      <c r="B41" s="42"/>
      <c r="C41" s="21" t="s">
        <v>52</v>
      </c>
      <c r="D41" s="22" t="s">
        <v>482</v>
      </c>
    </row>
    <row r="42" spans="1:4" x14ac:dyDescent="0.25">
      <c r="A42" s="41"/>
      <c r="B42" s="42"/>
      <c r="C42" s="21" t="s">
        <v>53</v>
      </c>
      <c r="D42" s="22" t="s">
        <v>482</v>
      </c>
    </row>
    <row r="43" spans="1:4" customFormat="1" ht="45" customHeight="1" x14ac:dyDescent="0.25">
      <c r="A43" s="41"/>
      <c r="B43" s="42" t="s">
        <v>24</v>
      </c>
      <c r="C43" s="16" t="s">
        <v>54</v>
      </c>
      <c r="D43" s="24" t="s">
        <v>492</v>
      </c>
    </row>
    <row r="44" spans="1:4" customFormat="1" ht="45" customHeight="1" x14ac:dyDescent="0.25">
      <c r="A44" s="41"/>
      <c r="B44" s="42"/>
      <c r="C44" s="16" t="s">
        <v>55</v>
      </c>
      <c r="D44" s="24" t="s">
        <v>492</v>
      </c>
    </row>
    <row r="45" spans="1:4" customFormat="1" ht="45" customHeight="1" x14ac:dyDescent="0.25">
      <c r="A45" s="41"/>
      <c r="B45" s="42"/>
      <c r="C45" s="16" t="s">
        <v>56</v>
      </c>
      <c r="D45" s="24" t="s">
        <v>492</v>
      </c>
    </row>
    <row r="46" spans="1:4" customFormat="1" ht="45" customHeight="1" x14ac:dyDescent="0.25">
      <c r="A46" s="41"/>
      <c r="B46" s="42"/>
      <c r="C46" s="16" t="s">
        <v>57</v>
      </c>
      <c r="D46" s="24" t="s">
        <v>492</v>
      </c>
    </row>
    <row r="47" spans="1:4" x14ac:dyDescent="0.25">
      <c r="A47" s="41"/>
      <c r="B47" s="42" t="s">
        <v>25</v>
      </c>
      <c r="C47" s="21" t="s">
        <v>34</v>
      </c>
      <c r="D47" s="24" t="s">
        <v>482</v>
      </c>
    </row>
    <row r="48" spans="1:4" x14ac:dyDescent="0.25">
      <c r="A48" s="41"/>
      <c r="B48" s="42"/>
      <c r="C48" s="21" t="s">
        <v>32</v>
      </c>
      <c r="D48" s="24" t="s">
        <v>482</v>
      </c>
    </row>
    <row r="49" spans="1:4" x14ac:dyDescent="0.25">
      <c r="A49" s="41"/>
      <c r="B49" s="42"/>
      <c r="C49" s="21" t="s">
        <v>33</v>
      </c>
      <c r="D49" s="24" t="s">
        <v>482</v>
      </c>
    </row>
    <row r="50" spans="1:4" x14ac:dyDescent="0.25">
      <c r="A50" s="41"/>
      <c r="B50" s="42"/>
      <c r="C50" s="21" t="s">
        <v>35</v>
      </c>
      <c r="D50" s="24" t="s">
        <v>482</v>
      </c>
    </row>
  </sheetData>
  <mergeCells count="14">
    <mergeCell ref="B13:B16"/>
    <mergeCell ref="B17:B20"/>
    <mergeCell ref="B21:B23"/>
    <mergeCell ref="A25:A50"/>
    <mergeCell ref="B25:B28"/>
    <mergeCell ref="B29:B37"/>
    <mergeCell ref="B38:B42"/>
    <mergeCell ref="B43:B46"/>
    <mergeCell ref="B47:B50"/>
    <mergeCell ref="A1:A24"/>
    <mergeCell ref="B1:B2"/>
    <mergeCell ref="B3:B6"/>
    <mergeCell ref="B7:B8"/>
    <mergeCell ref="B9:B12"/>
  </mergeCells>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Cluster Level Planning</vt:lpstr>
      <vt:lpstr>Training Planning</vt:lpstr>
      <vt:lpstr>Data Reference</vt:lpstr>
    </vt:vector>
  </TitlesOfParts>
  <Company>Foundation to Educate Girls Globally</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Upendra</dc:creator>
  <cp:lastModifiedBy>Ashutosh</cp:lastModifiedBy>
  <dcterms:created xsi:type="dcterms:W3CDTF">2023-12-21T09:18:18Z</dcterms:created>
  <dcterms:modified xsi:type="dcterms:W3CDTF">2025-04-05T13:03:35Z</dcterms:modified>
</cp:coreProperties>
</file>