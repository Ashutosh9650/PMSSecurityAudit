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00" firstSheet="1" activeTab="1"/>
  </bookViews>
  <sheets>
    <sheet name="Sheet1" sheetId="1" state="hidden" r:id="rId1"/>
    <sheet name="Quality Alert" sheetId="6" r:id="rId2"/>
    <sheet name="Summary" sheetId="3" state="hidden" r:id="rId3"/>
    <sheet name="Criteria" sheetId="4" r:id="rId4"/>
  </sheets>
  <calcPr calcId="152511"/>
  <extLst>
    <ext uri="GoogleSheetsCustomDataVersion1">
      <go:sheetsCustomData xmlns:go="http://customooxmlschemas.google.com/" r:id="rId8" roundtripDataSignature="AMtx7mgF8/2g+lWxSZUtUwuZJvSjplpu3w=="/>
    </ext>
  </extLst>
</workbook>
</file>

<file path=xl/calcChain.xml><?xml version="1.0" encoding="utf-8"?>
<calcChain xmlns="http://schemas.openxmlformats.org/spreadsheetml/2006/main">
  <c r="D2" i="3" l="1"/>
</calcChain>
</file>

<file path=xl/sharedStrings.xml><?xml version="1.0" encoding="utf-8"?>
<sst xmlns="http://schemas.openxmlformats.org/spreadsheetml/2006/main" count="150" uniqueCount="100">
  <si>
    <t>Detail</t>
  </si>
  <si>
    <t>Current Year D2D Target
(D2D + CIOOSG + GSA)</t>
  </si>
  <si>
    <t>Villages with D2D target</t>
  </si>
  <si>
    <t>Villages with D2D target and have no contact</t>
  </si>
  <si>
    <t>% against Universe</t>
  </si>
  <si>
    <t>Alert</t>
  </si>
  <si>
    <t># of house-hold with same lat-long
and latest contact data</t>
  </si>
  <si>
    <t>% against contacted</t>
  </si>
  <si>
    <t>Total HH Contacted/Total days</t>
  </si>
  <si>
    <t>Total Children Contacted/Total Days</t>
  </si>
  <si>
    <t>From Staff Training in Enrolment
from March -22 (Yes/No)</t>
  </si>
  <si>
    <t>#children contacted from CIOOSG +GSA</t>
  </si>
  <si>
    <t>% against total contacted</t>
  </si>
  <si>
    <t>#Village with no CIOOSG contacted</t>
  </si>
  <si>
    <t>% against Follow - up Children Contacted</t>
  </si>
  <si>
    <t># of children with 1st Contact - Follow-up
&amp; Latest Contact - Ineligible
(Applicable for Children with &gt;1 Contact)</t>
  </si>
  <si>
    <t>Last 7 days data from Latest Contact</t>
  </si>
  <si>
    <t># of duplicate mobile no. in different HH</t>
  </si>
  <si>
    <t># of children contacted with FC/TB mobile #</t>
  </si>
  <si>
    <t>Average of no.of contacts of that Cluster</t>
  </si>
  <si>
    <t>% against total contacted with followup</t>
  </si>
  <si>
    <t xml:space="preserve">for MP and Sidhi- % total samagra entered </t>
  </si>
  <si>
    <t>village has no TB contact and have wirking TB</t>
  </si>
  <si>
    <t>State Name</t>
  </si>
  <si>
    <t>State Code</t>
  </si>
  <si>
    <t>EG District Name</t>
  </si>
  <si>
    <t>EG District Code</t>
  </si>
  <si>
    <t>Admin District</t>
  </si>
  <si>
    <t>EG Block Name</t>
  </si>
  <si>
    <t>EG Block Code</t>
  </si>
  <si>
    <t xml:space="preserve">Admin Block Name </t>
  </si>
  <si>
    <t>Admin Block Code</t>
  </si>
  <si>
    <t>Cluster Name</t>
  </si>
  <si>
    <t>Cluster Code</t>
  </si>
  <si>
    <t>OOSC Universe</t>
  </si>
  <si>
    <t>Total Village in Cluster</t>
  </si>
  <si>
    <t># Villages with no contact</t>
  </si>
  <si>
    <t>%Village Coverage</t>
  </si>
  <si>
    <t>5 to 6 Contacted %</t>
  </si>
  <si>
    <t>7 to 14 Contacted %</t>
  </si>
  <si>
    <t>7 to 14 Contacted % Alert</t>
  </si>
  <si>
    <t>%OOSC contacted</t>
  </si>
  <si>
    <t># diff. HH Contacted with Same Lat/Long- only if Contact is done by FC</t>
  </si>
  <si>
    <t>Q Alert</t>
  </si>
  <si>
    <t>% Ineligible against Contacted</t>
  </si>
  <si>
    <t>Average HH Coverded per Day</t>
  </si>
  <si>
    <t>Average Contact per Day</t>
  </si>
  <si>
    <t>Staff Trained on D2D Contact</t>
  </si>
  <si>
    <t># of CIOOSG Children Contacted</t>
  </si>
  <si>
    <t>%CIOOSG Children Contacted</t>
  </si>
  <si>
    <t>#villages with contact data but no CIOOSG  contacted</t>
  </si>
  <si>
    <t>% Enrolled info by parent</t>
  </si>
  <si>
    <t>% Ready to be Enrolled</t>
  </si>
  <si>
    <t>%Children from Followup to Ineligible</t>
  </si>
  <si>
    <t>Clusters with no contact in last 7 days
(Yes/No)</t>
  </si>
  <si>
    <t>#Same mobile number with different HH</t>
  </si>
  <si>
    <t>#Mobile number registered with TB/FC mobile number</t>
  </si>
  <si>
    <t>Average Visit -Cluster level</t>
  </si>
  <si>
    <t>#Children Contacted more that 6 times</t>
  </si>
  <si>
    <t>Document Unavaliablity %</t>
  </si>
  <si>
    <t>%Children with Family Samagra ID</t>
  </si>
  <si>
    <t>#Children registerd in CBL</t>
  </si>
  <si>
    <t>#villages- Contact without TB Support</t>
  </si>
  <si>
    <t># diff. HH Contacted with Same Lat/Long</t>
  </si>
  <si>
    <t>#HH with Same Mobile number</t>
  </si>
  <si>
    <t>#HH registered with TB/FC mobile number</t>
  </si>
  <si>
    <t>%Villages- Contact without TB Support</t>
  </si>
  <si>
    <t>D2D Contact CV quality</t>
  </si>
  <si>
    <t>D2D Contact SC quality</t>
  </si>
  <si>
    <t>Red</t>
  </si>
  <si>
    <t>Amber</t>
  </si>
  <si>
    <t>District</t>
  </si>
  <si>
    <t># of cluster</t>
  </si>
  <si>
    <t>Indicator</t>
  </si>
  <si>
    <t>Total</t>
  </si>
  <si>
    <t>Low Amber</t>
  </si>
  <si>
    <t>No alert</t>
  </si>
  <si>
    <t>if &gt;0 =Alert</t>
  </si>
  <si>
    <t>Alert if &lt;50%</t>
  </si>
  <si>
    <t>Alert &gt;30%</t>
  </si>
  <si>
    <t>%against total children contacted by FC</t>
  </si>
  <si>
    <t>45 to 60=low alert</t>
  </si>
  <si>
    <t>61 to 75- medium</t>
  </si>
  <si>
    <t>NO=No Training Alert</t>
  </si>
  <si>
    <t>Alert--- No CIOOSG children contacted</t>
  </si>
  <si>
    <t>Alert-- if greater than 70% children contacted from CIOOSG</t>
  </si>
  <si>
    <t>Alert if greater than 60%</t>
  </si>
  <si>
    <t>Alert if greater than 80%</t>
  </si>
  <si>
    <t>Low Alert if greater than 5%-10%</t>
  </si>
  <si>
    <t>MediumAlert-- 11 to 15% High Alert&gt;15%</t>
  </si>
  <si>
    <t>Alert - if no contact in cluster from last 7 days</t>
  </si>
  <si>
    <t>Till june only/100% children contacted</t>
  </si>
  <si>
    <t>Wrong mobile number Alert: if value is greater than =3</t>
  </si>
  <si>
    <t>if value is &gt;=1 --Alert will be Same Mobile No. with TB/FC</t>
  </si>
  <si>
    <t>Contact &gt;6 Alert</t>
  </si>
  <si>
    <t>Alert if &gt;40% to 50, Medium Alert-51 to 70 and High Alert more than 70</t>
  </si>
  <si>
    <t>Alert if More than 20%</t>
  </si>
  <si>
    <t>#Villages- Contact without TB Support</t>
  </si>
  <si>
    <t>Low Support Alert/No Support--- 11 to 30--Low Support/less that 10%-No support</t>
  </si>
  <si>
    <t>red/Amber/Green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</si>
</sst>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1" xfId="0" applyFont="1" applyFill="1" applyBorder="1"/>
    <xf numFmtId="0" fontId="1" fillId="4" borderId="1" xfId="0" applyFont="1" applyFill="1" applyBorder="1"/>
    <xf numFmtId="0" fontId="3" fillId="3" borderId="3" xfId="0" applyFont="1" applyFill="1" applyBorder="1"/>
    <xf numFmtId="0" fontId="3" fillId="4" borderId="3" xfId="0" applyFont="1" applyFill="1" applyBorder="1"/>
    <xf numFmtId="0" fontId="1" fillId="0" borderId="1" xfId="0" applyFont="1" applyBorder="1"/>
    <xf numFmtId="0" fontId="1" fillId="5" borderId="1" xfId="0" applyFont="1" applyFill="1" applyBorder="1"/>
    <xf numFmtId="0" fontId="3" fillId="0" borderId="0" xfId="0" applyFont="1"/>
    <xf numFmtId="0" fontId="3" fillId="0" borderId="1" xfId="0" applyFont="1" applyBorder="1"/>
    <xf numFmtId="1" fontId="3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9" fontId="2" fillId="0" borderId="0" xfId="0" applyNumberFormat="1" applyFont="1" applyAlignment="1"/>
    <xf numFmtId="9" fontId="0" fillId="0" borderId="0" xfId="0" applyNumberFormat="1" applyFont="1" applyAlignment="1"/>
    <xf numFmtId="0" fontId="1" fillId="3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447675</xdr:colOff>
      <xdr:row>1</xdr:row>
      <xdr:rowOff>257175</xdr:rowOff>
    </xdr:from>
    <xdr:ext cx="295275" cy="38100"/>
    <xdr:grpSp>
      <xdr:nvGrpSpPr>
        <xdr:cNvPr id="2" name="Shape 2"/>
        <xdr:cNvGrpSpPr/>
      </xdr:nvGrpSpPr>
      <xdr:grpSpPr>
        <a:xfrm>
          <a:off x="447675" y="447675"/>
          <a:ext cx="295275" cy="38100"/>
          <a:chOff x="5198363" y="3780000"/>
          <a:chExt cx="295275" cy="0"/>
        </a:xfrm>
      </xdr:grpSpPr>
      <xdr:cxnSp macro="">
        <xdr:nvCxnSpPr>
          <xdr:cNvPr id="3" name="Shape 3"/>
          <xdr:cNvCxnSpPr/>
        </xdr:nvCxnSpPr>
        <xdr:spPr>
          <a:xfrm>
            <a:off x="5198363" y="3780000"/>
            <a:ext cx="295275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1002"/>
  <sheetViews>
    <sheetView workbookViewId="0">
      <pane xSplit="10" ySplit="3" topLeftCell="AJ4" activePane="bottomRight" state="frozen"/>
      <selection pane="topRight" activeCell="K1" sqref="K1"/>
      <selection pane="bottomLeft" activeCell="A4" sqref="A4"/>
      <selection pane="bottomRight" activeCell="O13" sqref="O13"/>
    </sheetView>
  </sheetViews>
  <sheetFormatPr defaultColWidth="14.42578125" defaultRowHeight="15" customHeight="1" x14ac:dyDescent="0.25"/>
  <cols>
    <col min="1" max="1" width="11.28515625" hidden="1" customWidth="1"/>
    <col min="2" max="2" width="10.5703125" hidden="1" customWidth="1"/>
    <col min="3" max="3" width="16" hidden="1" customWidth="1"/>
    <col min="4" max="4" width="15.28515625" hidden="1" customWidth="1"/>
    <col min="5" max="5" width="13.7109375" hidden="1" customWidth="1"/>
    <col min="6" max="6" width="14.42578125" hidden="1"/>
    <col min="7" max="7" width="13.7109375" hidden="1" customWidth="1"/>
    <col min="8" max="8" width="18.42578125" hidden="1" customWidth="1"/>
    <col min="9" max="9" width="17.28515625" hidden="1" customWidth="1"/>
    <col min="10" max="10" width="13.140625" hidden="1" customWidth="1"/>
    <col min="11" max="11" width="12.28515625" customWidth="1"/>
    <col min="12" max="12" width="22" customWidth="1"/>
    <col min="13" max="13" width="21.140625" customWidth="1"/>
    <col min="14" max="14" width="23.5703125" customWidth="1"/>
    <col min="15" max="15" width="17.7109375" customWidth="1"/>
    <col min="16" max="16" width="17.42578125" customWidth="1"/>
    <col min="17" max="17" width="18.42578125" customWidth="1"/>
    <col min="18" max="18" width="23.42578125" customWidth="1"/>
    <col min="19" max="19" width="16.85546875" customWidth="1"/>
    <col min="20" max="21" width="37.140625" customWidth="1"/>
    <col min="22" max="22" width="28.140625" customWidth="1"/>
    <col min="23" max="23" width="28" customWidth="1"/>
    <col min="24" max="24" width="27.7109375" customWidth="1"/>
    <col min="25" max="25" width="26.7109375" customWidth="1"/>
    <col min="26" max="26" width="35.7109375" customWidth="1"/>
    <col min="27" max="27" width="52.85546875" customWidth="1"/>
    <col min="28" max="28" width="48.7109375" customWidth="1"/>
    <col min="29" max="30" width="23.7109375" customWidth="1"/>
    <col min="31" max="31" width="40.85546875" customWidth="1"/>
    <col min="32" max="32" width="44" customWidth="1"/>
    <col min="33" max="33" width="50.42578125" customWidth="1"/>
    <col min="34" max="34" width="50.85546875" customWidth="1"/>
    <col min="35" max="35" width="25.5703125" customWidth="1"/>
    <col min="36" max="36" width="35.85546875" customWidth="1"/>
    <col min="37" max="37" width="24.42578125" customWidth="1"/>
    <col min="38" max="38" width="31.7109375" customWidth="1"/>
    <col min="39" max="39" width="24.140625" customWidth="1"/>
    <col min="40" max="40" width="34.85546875" customWidth="1"/>
  </cols>
  <sheetData>
    <row r="2" spans="1:41" ht="4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 t="s">
        <v>0</v>
      </c>
      <c r="L2" s="1" t="s">
        <v>1</v>
      </c>
      <c r="M2" s="1" t="s">
        <v>2</v>
      </c>
      <c r="N2" s="2" t="s">
        <v>3</v>
      </c>
      <c r="O2" s="1"/>
      <c r="P2" s="1" t="s">
        <v>4</v>
      </c>
      <c r="Q2" s="1" t="s">
        <v>4</v>
      </c>
      <c r="R2" s="1" t="s">
        <v>5</v>
      </c>
      <c r="S2" s="1" t="s">
        <v>4</v>
      </c>
      <c r="T2" s="1" t="s">
        <v>6</v>
      </c>
      <c r="U2" s="1"/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14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19</v>
      </c>
      <c r="AJ2" s="3"/>
      <c r="AK2" s="4" t="s">
        <v>20</v>
      </c>
      <c r="AL2" s="5" t="s">
        <v>21</v>
      </c>
      <c r="AM2" s="3"/>
      <c r="AN2" s="5" t="s">
        <v>22</v>
      </c>
      <c r="AO2" s="3"/>
    </row>
    <row r="3" spans="1:41" x14ac:dyDescent="0.25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6" t="s">
        <v>34</v>
      </c>
      <c r="M3" s="6" t="s">
        <v>35</v>
      </c>
      <c r="N3" s="6" t="s">
        <v>36</v>
      </c>
      <c r="O3" s="6" t="s">
        <v>37</v>
      </c>
      <c r="P3" s="6" t="s">
        <v>38</v>
      </c>
      <c r="Q3" s="6" t="s">
        <v>39</v>
      </c>
      <c r="R3" s="6" t="s">
        <v>40</v>
      </c>
      <c r="S3" s="6" t="s">
        <v>41</v>
      </c>
      <c r="T3" s="6" t="s">
        <v>42</v>
      </c>
      <c r="U3" s="6" t="s">
        <v>43</v>
      </c>
      <c r="V3" s="6" t="s">
        <v>44</v>
      </c>
      <c r="W3" s="6" t="s">
        <v>45</v>
      </c>
      <c r="X3" s="6" t="s">
        <v>46</v>
      </c>
      <c r="Y3" s="6" t="s">
        <v>47</v>
      </c>
      <c r="Z3" s="6" t="s">
        <v>48</v>
      </c>
      <c r="AA3" s="6" t="s">
        <v>49</v>
      </c>
      <c r="AB3" s="6" t="s">
        <v>50</v>
      </c>
      <c r="AC3" s="6" t="s">
        <v>51</v>
      </c>
      <c r="AD3" s="6" t="s">
        <v>52</v>
      </c>
      <c r="AE3" s="6" t="s">
        <v>53</v>
      </c>
      <c r="AF3" s="6" t="s">
        <v>54</v>
      </c>
      <c r="AG3" s="6" t="s">
        <v>55</v>
      </c>
      <c r="AH3" s="6" t="s">
        <v>56</v>
      </c>
      <c r="AI3" s="7" t="s">
        <v>57</v>
      </c>
      <c r="AJ3" s="8" t="s">
        <v>58</v>
      </c>
      <c r="AK3" s="8" t="s">
        <v>59</v>
      </c>
      <c r="AL3" s="8" t="s">
        <v>60</v>
      </c>
      <c r="AM3" s="9" t="s">
        <v>61</v>
      </c>
      <c r="AN3" s="8" t="s">
        <v>62</v>
      </c>
    </row>
    <row r="4" spans="1:4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11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2"/>
      <c r="AL4" s="12"/>
    </row>
    <row r="5" spans="1:41" ht="15" customHeight="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K5" s="12"/>
    </row>
    <row r="6" spans="1:41" ht="15" customHeight="1" x14ac:dyDescent="0.25">
      <c r="W6" s="13"/>
      <c r="X6" s="13"/>
    </row>
    <row r="7" spans="1:41" ht="15" customHeight="1" x14ac:dyDescent="0.25">
      <c r="W7" s="13"/>
      <c r="X7" s="13"/>
    </row>
    <row r="8" spans="1:41" x14ac:dyDescent="0.25">
      <c r="K8" s="12"/>
      <c r="L8" s="12"/>
      <c r="P8" s="12"/>
    </row>
    <row r="9" spans="1:41" x14ac:dyDescent="0.25">
      <c r="K9" s="12"/>
      <c r="L9" s="12"/>
      <c r="P9" s="12"/>
    </row>
    <row r="10" spans="1:41" x14ac:dyDescent="0.25">
      <c r="K10" s="12"/>
      <c r="L10" s="12"/>
      <c r="P10" s="12"/>
    </row>
    <row r="17" spans="11:18" x14ac:dyDescent="0.25">
      <c r="K17" s="12"/>
      <c r="Q17" s="14"/>
      <c r="R17" s="14"/>
    </row>
    <row r="18" spans="11:18" x14ac:dyDescent="0.25">
      <c r="Q18" s="14"/>
      <c r="R18" s="14"/>
    </row>
    <row r="23" spans="11:18" ht="15.75" customHeight="1" x14ac:dyDescent="0.25"/>
    <row r="24" spans="11:18" ht="15.75" customHeight="1" x14ac:dyDescent="0.25"/>
    <row r="25" spans="11:18" ht="15.75" customHeight="1" x14ac:dyDescent="0.25"/>
    <row r="26" spans="11:18" ht="15.75" customHeight="1" x14ac:dyDescent="0.25"/>
    <row r="27" spans="11:18" ht="15.75" customHeight="1" x14ac:dyDescent="0.25"/>
    <row r="28" spans="11:18" ht="15.75" customHeight="1" x14ac:dyDescent="0.25"/>
    <row r="29" spans="11:18" ht="15.75" customHeight="1" x14ac:dyDescent="0.25"/>
    <row r="30" spans="11:18" ht="15.75" customHeight="1" x14ac:dyDescent="0.25"/>
    <row r="31" spans="11:18" ht="15.75" customHeight="1" x14ac:dyDescent="0.25"/>
    <row r="32" spans="11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>
      <selection activeCell="A2" sqref="A2"/>
    </sheetView>
  </sheetViews>
  <sheetFormatPr defaultRowHeight="15" x14ac:dyDescent="0.25"/>
  <cols>
    <col min="1" max="1" width="13.7109375" customWidth="1"/>
    <col min="2" max="2" width="15.5703125" customWidth="1"/>
    <col min="3" max="3" width="17.28515625" customWidth="1"/>
    <col min="4" max="4" width="24.5703125" customWidth="1"/>
    <col min="5" max="5" width="19.42578125" customWidth="1"/>
    <col min="6" max="6" width="15.85546875" customWidth="1"/>
    <col min="7" max="7" width="16.28515625" customWidth="1"/>
    <col min="8" max="8" width="18" customWidth="1"/>
    <col min="9" max="9" width="17.42578125" customWidth="1"/>
    <col min="10" max="11" width="14.28515625" customWidth="1"/>
    <col min="12" max="12" width="23.85546875" customWidth="1"/>
    <col min="13" max="13" width="19.5703125" customWidth="1"/>
    <col min="14" max="14" width="17.5703125" customWidth="1"/>
    <col min="15" max="15" width="30.85546875" customWidth="1"/>
    <col min="16" max="16" width="19.5703125" customWidth="1"/>
    <col min="17" max="17" width="24.85546875" customWidth="1"/>
    <col min="18" max="18" width="17.7109375" customWidth="1"/>
    <col min="19" max="19" width="22.85546875" customWidth="1"/>
    <col min="20" max="20" width="20.28515625" customWidth="1"/>
    <col min="21" max="21" width="19.7109375" customWidth="1"/>
    <col min="22" max="22" width="22.28515625" customWidth="1"/>
    <col min="23" max="23" width="23.28515625" customWidth="1"/>
    <col min="24" max="24" width="16.5703125" customWidth="1"/>
    <col min="25" max="25" width="24.7109375" customWidth="1"/>
    <col min="26" max="26" width="20.7109375" customWidth="1"/>
    <col min="27" max="27" width="27" customWidth="1"/>
    <col min="28" max="28" width="21.140625" customWidth="1"/>
    <col min="29" max="29" width="23.7109375" customWidth="1"/>
    <col min="30" max="30" width="16.140625" customWidth="1"/>
    <col min="31" max="31" width="13.28515625" customWidth="1"/>
  </cols>
  <sheetData>
    <row r="1" spans="1:31" ht="45" x14ac:dyDescent="0.25">
      <c r="A1" s="15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  <c r="H1" s="15" t="s">
        <v>30</v>
      </c>
      <c r="I1" s="15" t="s">
        <v>31</v>
      </c>
      <c r="J1" s="20" t="s">
        <v>32</v>
      </c>
      <c r="K1" s="20" t="s">
        <v>33</v>
      </c>
      <c r="L1" s="15" t="s">
        <v>36</v>
      </c>
      <c r="M1" s="15" t="s">
        <v>38</v>
      </c>
      <c r="N1" s="15" t="s">
        <v>39</v>
      </c>
      <c r="O1" s="15" t="s">
        <v>63</v>
      </c>
      <c r="P1" s="15" t="s">
        <v>44</v>
      </c>
      <c r="Q1" s="15" t="s">
        <v>46</v>
      </c>
      <c r="R1" s="15" t="s">
        <v>47</v>
      </c>
      <c r="S1" s="15" t="s">
        <v>48</v>
      </c>
      <c r="T1" s="15" t="s">
        <v>51</v>
      </c>
      <c r="U1" s="15" t="s">
        <v>52</v>
      </c>
      <c r="V1" s="15" t="s">
        <v>53</v>
      </c>
      <c r="W1" s="15" t="s">
        <v>54</v>
      </c>
      <c r="X1" s="15" t="s">
        <v>64</v>
      </c>
      <c r="Y1" s="15" t="s">
        <v>65</v>
      </c>
      <c r="Z1" s="15" t="s">
        <v>58</v>
      </c>
      <c r="AA1" s="15" t="s">
        <v>59</v>
      </c>
      <c r="AB1" s="15" t="s">
        <v>60</v>
      </c>
      <c r="AC1" s="15" t="s">
        <v>66</v>
      </c>
      <c r="AD1" s="15" t="s">
        <v>67</v>
      </c>
      <c r="AE1" s="15" t="s">
        <v>68</v>
      </c>
    </row>
    <row r="2" spans="1:31" x14ac:dyDescent="0.25">
      <c r="N2" s="19"/>
      <c r="O2">
        <v>1</v>
      </c>
    </row>
  </sheetData>
  <conditionalFormatting sqref="N2">
    <cfRule type="cellIs" dxfId="3" priority="4" operator="lessThan">
      <formula>0.5</formula>
    </cfRule>
  </conditionalFormatting>
  <conditionalFormatting sqref="O2">
    <cfRule type="cellIs" dxfId="2" priority="1" operator="greaterThan">
      <formula>0</formula>
    </cfRule>
    <cfRule type="cellIs" dxfId="1" priority="2" operator="greaterThan">
      <formula>1</formula>
    </cfRule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"/>
  <sheetViews>
    <sheetView workbookViewId="0"/>
  </sheetViews>
  <sheetFormatPr defaultColWidth="14.42578125" defaultRowHeight="15" customHeight="1" x14ac:dyDescent="0.25"/>
  <sheetData>
    <row r="1" spans="1:8" x14ac:dyDescent="0.25">
      <c r="A1" s="16" t="s">
        <v>71</v>
      </c>
      <c r="B1" s="16" t="s">
        <v>72</v>
      </c>
      <c r="C1" s="16" t="s">
        <v>73</v>
      </c>
      <c r="D1" s="16" t="s">
        <v>74</v>
      </c>
      <c r="E1" s="16" t="s">
        <v>69</v>
      </c>
      <c r="F1" s="16" t="s">
        <v>70</v>
      </c>
      <c r="G1" s="16" t="s">
        <v>75</v>
      </c>
      <c r="H1" s="16" t="s">
        <v>76</v>
      </c>
    </row>
    <row r="2" spans="1:8" x14ac:dyDescent="0.25">
      <c r="B2" s="16">
        <v>60</v>
      </c>
      <c r="C2" s="16">
        <v>19</v>
      </c>
      <c r="D2" s="17">
        <f>C2*B2</f>
        <v>1140</v>
      </c>
      <c r="E2" s="18">
        <v>0.5</v>
      </c>
      <c r="F2" s="18">
        <v>0.2</v>
      </c>
      <c r="G2" s="18">
        <v>0.1</v>
      </c>
      <c r="H2" s="18">
        <v>0.1</v>
      </c>
    </row>
  </sheetData>
  <conditionalFormatting sqref="E2:H2">
    <cfRule type="colorScale" priority="1">
      <colorScale>
        <cfvo type="min"/>
        <cfvo type="max"/>
        <color rgb="FFFFFFFF"/>
        <color rgb="FFE67C7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6"/>
  <sheetViews>
    <sheetView workbookViewId="0">
      <selection activeCell="B5" sqref="B5"/>
    </sheetView>
  </sheetViews>
  <sheetFormatPr defaultColWidth="14.42578125" defaultRowHeight="15" customHeight="1" x14ac:dyDescent="0.25"/>
  <cols>
    <col min="1" max="1" width="64" customWidth="1"/>
    <col min="2" max="2" width="52.85546875" customWidth="1"/>
    <col min="3" max="3" width="52.5703125" customWidth="1"/>
    <col min="4" max="26" width="8.7109375" customWidth="1"/>
  </cols>
  <sheetData>
    <row r="1" spans="1:3" x14ac:dyDescent="0.25">
      <c r="A1" s="6" t="s">
        <v>36</v>
      </c>
      <c r="B1" s="11" t="s">
        <v>77</v>
      </c>
      <c r="C1" s="13"/>
    </row>
    <row r="2" spans="1:3" x14ac:dyDescent="0.25">
      <c r="A2" s="6" t="s">
        <v>38</v>
      </c>
      <c r="B2" s="10"/>
      <c r="C2" s="13"/>
    </row>
    <row r="3" spans="1:3" x14ac:dyDescent="0.25">
      <c r="A3" s="6" t="s">
        <v>39</v>
      </c>
      <c r="B3" s="10"/>
      <c r="C3" s="13" t="s">
        <v>78</v>
      </c>
    </row>
    <row r="4" spans="1:3" x14ac:dyDescent="0.25">
      <c r="A4" s="6" t="s">
        <v>42</v>
      </c>
      <c r="B4" s="10" t="s">
        <v>79</v>
      </c>
      <c r="C4" s="13" t="s">
        <v>80</v>
      </c>
    </row>
    <row r="5" spans="1:3" x14ac:dyDescent="0.25">
      <c r="A5" s="6" t="s">
        <v>44</v>
      </c>
      <c r="B5" s="10" t="s">
        <v>79</v>
      </c>
      <c r="C5" s="13"/>
    </row>
    <row r="6" spans="1:3" x14ac:dyDescent="0.25">
      <c r="A6" s="6" t="s">
        <v>46</v>
      </c>
      <c r="B6" s="10" t="s">
        <v>81</v>
      </c>
      <c r="C6" s="13" t="s">
        <v>82</v>
      </c>
    </row>
    <row r="7" spans="1:3" x14ac:dyDescent="0.25">
      <c r="A7" s="6" t="s">
        <v>47</v>
      </c>
      <c r="B7" s="10" t="s">
        <v>83</v>
      </c>
      <c r="C7" s="13"/>
    </row>
    <row r="8" spans="1:3" x14ac:dyDescent="0.25">
      <c r="A8" s="6" t="s">
        <v>48</v>
      </c>
      <c r="B8" s="10" t="s">
        <v>84</v>
      </c>
      <c r="C8" s="13"/>
    </row>
    <row r="9" spans="1:3" x14ac:dyDescent="0.25">
      <c r="A9" s="6" t="s">
        <v>49</v>
      </c>
      <c r="B9" s="10" t="s">
        <v>85</v>
      </c>
      <c r="C9" s="13"/>
    </row>
    <row r="10" spans="1:3" x14ac:dyDescent="0.25">
      <c r="A10" s="6" t="s">
        <v>51</v>
      </c>
      <c r="B10" s="10" t="s">
        <v>86</v>
      </c>
      <c r="C10" s="13"/>
    </row>
    <row r="11" spans="1:3" x14ac:dyDescent="0.25">
      <c r="A11" s="6" t="s">
        <v>52</v>
      </c>
      <c r="B11" s="10" t="s">
        <v>87</v>
      </c>
      <c r="C11" s="13"/>
    </row>
    <row r="12" spans="1:3" x14ac:dyDescent="0.25">
      <c r="A12" s="6" t="s">
        <v>53</v>
      </c>
      <c r="B12" s="10" t="s">
        <v>88</v>
      </c>
      <c r="C12" s="13" t="s">
        <v>89</v>
      </c>
    </row>
    <row r="13" spans="1:3" x14ac:dyDescent="0.25">
      <c r="A13" s="6" t="s">
        <v>54</v>
      </c>
      <c r="B13" s="10" t="s">
        <v>90</v>
      </c>
      <c r="C13" s="13" t="s">
        <v>91</v>
      </c>
    </row>
    <row r="14" spans="1:3" x14ac:dyDescent="0.25">
      <c r="A14" s="6" t="s">
        <v>64</v>
      </c>
      <c r="B14" s="10"/>
      <c r="C14" s="13" t="s">
        <v>92</v>
      </c>
    </row>
    <row r="15" spans="1:3" x14ac:dyDescent="0.25">
      <c r="A15" s="6" t="s">
        <v>65</v>
      </c>
      <c r="B15" s="10"/>
      <c r="C15" s="13" t="s">
        <v>93</v>
      </c>
    </row>
    <row r="16" spans="1:3" x14ac:dyDescent="0.25">
      <c r="A16" s="6" t="s">
        <v>58</v>
      </c>
      <c r="B16" s="13" t="s">
        <v>94</v>
      </c>
      <c r="C16" s="13"/>
    </row>
    <row r="17" spans="1:3" x14ac:dyDescent="0.25">
      <c r="A17" s="6" t="s">
        <v>59</v>
      </c>
      <c r="B17" s="13"/>
      <c r="C17" s="13" t="s">
        <v>95</v>
      </c>
    </row>
    <row r="18" spans="1:3" x14ac:dyDescent="0.25">
      <c r="A18" s="6" t="s">
        <v>60</v>
      </c>
      <c r="B18" s="13" t="s">
        <v>96</v>
      </c>
      <c r="C18" s="13"/>
    </row>
    <row r="19" spans="1:3" x14ac:dyDescent="0.25">
      <c r="A19" s="6" t="s">
        <v>97</v>
      </c>
      <c r="B19" s="13" t="s">
        <v>98</v>
      </c>
      <c r="C19" s="13"/>
    </row>
    <row r="20" spans="1:3" x14ac:dyDescent="0.25">
      <c r="A20" s="6" t="s">
        <v>67</v>
      </c>
      <c r="B20" s="13" t="s">
        <v>99</v>
      </c>
      <c r="C20" s="13"/>
    </row>
    <row r="21" spans="1:3" ht="15.75" customHeight="1" x14ac:dyDescent="0.25">
      <c r="A21" s="6" t="s">
        <v>68</v>
      </c>
      <c r="B21" s="13" t="s">
        <v>99</v>
      </c>
      <c r="C21" s="13"/>
    </row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Quality Alert</vt:lpstr>
      <vt:lpstr>Summary</vt:lpstr>
      <vt:lpstr>Criteria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2022-04-19T08:28:58Z</dcterms:created>
  <dcterms:modified xsi:type="dcterms:W3CDTF">2022-04-26T10:38:07Z</dcterms:modified>
</cp:coreProperties>
</file>