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30" windowHeight="6915" firstSheet="0" activeTab="0"/>
  </x:bookViews>
  <x:sheets>
    <x:sheet name="School " sheetId="1" r:id="rId1"/>
    <x:sheet name="Block " sheetId="7" r:id="rId2"/>
    <x:sheet name="District " sheetId="8" r:id="rId3"/>
    <x:sheet name="State " sheetId="9" r:id="rId4"/>
    <x:sheet name="Summary Reference" sheetId="10" r:id="rId5"/>
    <x:sheet name="School Reference" sheetId="3" r:id="rId6"/>
    <x:sheet name="Block" sheetId="4" state="hidden" r:id="rId7"/>
    <x:sheet name="District" sheetId="5" state="hidden" r:id="rId8"/>
    <x:sheet name="State" sheetId="6" state="hidden" r:id="rId9"/>
    <x:sheet name="Same Grade" sheetId="2" state="hidden" r:id="rId10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calcChain.xml><?xml version="1.0" encoding="utf-8"?>
<x:calcChain xmlns:x="http://schemas.openxmlformats.org/spreadsheetml/2006/main">
  <x:c r="W7" i="4"/>
  <x:c r="D2" i="2"/>
  <x:c r="E2" i="2"/>
  <x:c r="F2" i="2"/>
  <x:c r="D3" i="2"/>
  <x:c r="D4" i="2"/>
  <x:c r="D5" i="2"/>
  <x:c r="D6" i="2"/>
  <x:c r="D7" i="2"/>
  <x:c r="D8" i="2"/>
  <x:c r="D9" i="2"/>
  <x:c r="D10" i="2"/>
  <x:c r="D11" i="2"/>
  <x:c r="D12" i="2"/>
  <x:c r="D13" i="2"/>
  <x:c r="D14" i="2"/>
  <x:c r="D15" i="2"/>
  <x:c r="D16" i="2"/>
</x:calcChain>
</file>

<file path=xl/sharedStrings.xml><?xml version="1.0" encoding="utf-8"?>
<x:sst xmlns:x="http://schemas.openxmlformats.org/spreadsheetml/2006/main" count="186" uniqueCount="186">
  <x:si>
    <x:t>State Name</x:t>
  </x:si>
  <x:si>
    <x:t>State Code</x:t>
  </x:si>
  <x:si>
    <x:t>District Name</x:t>
  </x:si>
  <x:si>
    <x:t>District Code</x:t>
  </x:si>
  <x:si>
    <x:t>Admin District Name</x:t>
  </x:si>
  <x:si>
    <x:t>Admin District Code</x:t>
  </x:si>
  <x:si>
    <x:t>Block Name</x:t>
  </x:si>
  <x:si>
    <x:t>Block Code</x:t>
  </x:si>
  <x:si>
    <x:t>Main Block Name</x:t>
  </x:si>
  <x:si>
    <x:t>Main 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</x:si>
  <x:si>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</x:si>
  <x:si>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</x:si>
  <x:si>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</x:si>
  <x:si>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</x:si>
  <x:si>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</x:si>
  <x:si>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</x:si>
  <x:si>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</x:si>
  <x:si>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 Code</x:t>
  </x:si>
  <x:si>
    <x:t># of sessions conducted</x:t>
  </x:si>
  <x:si>
    <x:t>Total Children Registered</x:t>
  </x:si>
  <x:si>
    <x:t>Registration Status</x:t>
  </x:si>
  <x:si>
    <x:t>%Class 3</x:t>
  </x:si>
  <x:si>
    <x:t>%Class 4</x:t>
  </x:si>
  <x:si>
    <x:t>%Class 5</x:t>
  </x:si>
  <x:si>
    <x:t>%Children Present in Baseline</x:t>
  </x:si>
  <x:si>
    <x:t>% Children Coming in A&amp;B Grade- Hindi BL</x:t>
  </x:si>
  <x:si>
    <x:t>% Children Coming in A&amp;B Grade- Math BL</x:t>
  </x:si>
  <x:si>
    <x:t>% Children Coming in A&amp;B Grade- English BL</x:t>
  </x:si>
  <x:si>
    <x:t>Average # Children Cover in BL per Day</x:t>
  </x:si>
  <x:si>
    <x:t>Average # Children Cover in EL per Day</x:t>
  </x:si>
  <x:si>
    <x:t>Sessions Regularity</x:t>
  </x:si>
  <x:si>
    <x:t>Idle GKP Status</x:t>
  </x:si>
  <x:si>
    <x:t>%Average Attendance per Session</x:t>
  </x:si>
  <x:si>
    <x:t>%BL-EL Attrition</x:t>
  </x:si>
  <x:si>
    <x:t>%Beneficiary in at least 1 Session</x:t>
  </x:si>
  <x:si>
    <x:t>#Children Attending less than 50% Session</x:t>
  </x:si>
  <x:si>
    <x:t>%Children Absent in Last 3 session</x:t>
  </x:si>
  <x:si>
    <x:t>%Children Same Grade -BL Hindi</x:t>
  </x:si>
  <x:si>
    <x:t>%Children Same Grade -BL Math</x:t>
  </x:si>
  <x:si>
    <x:t>%Children Same Grade -BL English</x:t>
  </x:si>
  <x:si>
    <x:t>%Children Same Grade -EL Hindi</x:t>
  </x:si>
  <x:si>
    <x:t>%Children Same Grade -EL Math</x:t>
  </x:si>
  <x:si>
    <x:t>%Children Same Grade -EL English</x:t>
  </x:si>
  <x:si>
    <x:t>%BL- EL  Same Grade  - Hindi</x:t>
  </x:si>
  <x:si>
    <x:t>%BL- EL  Same Grade - Math</x:t>
  </x:si>
  <x:si>
    <x:t>%BL- EL  Same Grade - English</x:t>
  </x:si>
  <x:si>
    <x:t>%BL-EL Grade Loss - Hindi</x:t>
  </x:si>
  <x:si>
    <x:t>%BL-EL Grade Loss - Math</x:t>
  </x:si>
  <x:si>
    <x:t>%BL-EL Grade Loss - English</x:t>
  </x:si>
  <x:si>
    <x:t># Session Conducted by FC</x:t>
  </x:si>
  <x:si>
    <x:t># Session Conducted by TB</x:t>
  </x:si>
  <x:si>
    <x:t>FC Not Trained on GKP</x:t>
  </x:si>
  <x:si>
    <x:t>TB Not Trained on GKP</x:t>
  </x:si>
  <x:si>
    <x:t>Average Distance per Session</x:t>
  </x:si>
  <x:si>
    <x:t>UP ZONE-1</x:t>
  </x:si>
  <x:si>
    <x:t>9A</x:t>
  </x:si>
  <x:si>
    <x:t>CHITRAKOOT</x:t>
  </x:si>
  <x:si>
    <x:t>941A</x:t>
  </x:si>
  <x:si>
    <x:t>94101A</x:t>
  </x:si>
  <x:si>
    <x:t>KANTHIPUR</x:t>
  </x:si>
  <x:si>
    <x:t>AMANPUR</x:t>
  </x:si>
  <x:si>
    <x:t>PMV AMANPUR</x:t>
  </x:si>
  <x:si>
    <x:t>Low Registration</x:t>
  </x:si>
  <x:si>
    <x:t>Low</x:t>
  </x:si>
  <x:si>
    <x:t>Idle</x:t>
  </x:si>
  <x:si>
    <x:t>% Red Indicators</x:t>
  </x:si>
  <x:si>
    <x:t># of GKP Schools</x:t>
  </x:si>
  <x:si>
    <x:t># of schools with baseline Completed</x:t>
  </x:si>
  <x:si>
    <x:t># of schools with baseline Start</x:t>
  </x:si>
  <x:si>
    <x:t># of schools with main sessions</x:t>
  </x:si>
  <x:si>
    <x:t>#Schools with High Registration Alert</x:t>
  </x:si>
  <x:si>
    <x:t>#Schools with Low Registration Alert</x:t>
  </x:si>
  <x:si>
    <x:t>Schools with 100% students in same class</x:t>
  </x:si>
  <x:si>
    <x:t xml:space="preserve">% Schools with Low Baseline </x:t>
  </x:si>
  <x:si>
    <x:t>% Schools with  Children  in A&amp;B Grade- Hindi BL</x:t>
  </x:si>
  <x:si>
    <x:t>% Schools with  Children  in A&amp;B Grade- Math BL</x:t>
  </x:si>
  <x:si>
    <x:t>% Schools with  Children  in A&amp;B Grade- English BL</x:t>
  </x:si>
  <x:si>
    <x:t>% Schools with Low/High Sessions Regularity</x:t>
  </x:si>
  <x:si>
    <x:t>% Schools with Idle GKP Status</x:t>
  </x:si>
  <x:si>
    <x:t>%Schools with Attendance alert</x:t>
  </x:si>
  <x:si>
    <x:t>%Schools with BL-EL Attrition</x:t>
  </x:si>
  <x:si>
    <x:t>% Schools with &lt;80% children Attending &lt;50% Sessions</x:t>
  </x:si>
  <x:si>
    <x:t>%Schools with Same Grade -BL Hindi</x:t>
  </x:si>
  <x:si>
    <x:t>%Schools Same Grade -BL Math</x:t>
  </x:si>
  <x:si>
    <x:t>%Schools Same Grade -BL English</x:t>
  </x:si>
  <x:si>
    <x:t>%Schools Same Grade -EL Hindi</x:t>
  </x:si>
  <x:si>
    <x:t>%Schools Same Grade -EL Math</x:t>
  </x:si>
  <x:si>
    <x:t>%Schools Same Grade -EL English</x:t>
  </x:si>
  <x:si>
    <x:t>941</x:t>
  </x:si>
  <x:si>
    <x:t># of schools with baseline</x:t>
  </x:si>
  <x:si>
    <x:t>red/13</x:t>
  </x:si>
  <x:si>
    <x:t>Schools with below 90% Baseline/Total schools with baseline Started</x:t>
  </x:si>
  <x:si>
    <x:t>Schools with &gt;20% Students in A&amp;B/total schools with Baseline Started</x:t>
  </x:si>
  <x:si>
    <x:t>Schools with Low/High session regularity/total schools with any regularity(Session Started)</x:t>
  </x:si>
  <x:si>
    <x:t>Schools with Idle GKP status/total schools with Baseline Started</x:t>
  </x:si>
  <x:si>
    <x:t>Schools with &gt;95% or less than 70% avg. attendance/total schools with Baseline Started</x:t>
  </x:si>
  <x:si>
    <x:t>Schools with greater than 10% attrition/total schools with End line Started</x:t>
  </x:si>
  <x:si>
    <x:t>Schools with &lt;80% children attending 50% sessions/total schools with Baseline Started</x:t>
  </x:si>
  <x:si>
    <x:t>Schools with &gt;80% children in Same Grade/total schools with Baseline Started</x:t>
  </x:si>
  <x:si>
    <x:t>Schools with &gt;80% children in Same Grade/total schools with EL Started</x:t>
  </x:si>
  <x:si>
    <x:t>Schools with &gt;30% Same grade BL-EL/total schools with EL Started</x:t>
  </x:si>
  <x:si>
    <x:t>Schools with &gt;20% Grade Loss/total schools with EL Started</x:t>
  </x:si>
  <x:si>
    <x:t>Schools with &gt;1 FC not trained</x:t>
  </x:si>
  <x:si>
    <x:t>Schools with &gt;1 TB not trained</x:t>
  </x:si>
  <x:si>
    <x:t>sum of distance of sessions/(Total Registered children * Sessions Conducted)</x:t>
  </x:si>
  <x:si>
    <x:t>R: &gt;50% 
A: &gt;30% to 50%
G: &lt;30%</x:t>
  </x:si>
  <x:si>
    <x:t>Quality Indicators</x:t>
  </x:si>
  <x:si>
    <x:t>Definitions</x:t>
  </x:si>
  <x:si>
    <x:t>Criteria</x:t>
  </x:si>
  <x:si>
    <x:t>From Registration</x:t>
  </x:si>
  <x:si>
    <x:t>High Registration:  greater than=80
Low Registration: less than =20</x:t>
  </x:si>
  <x:si>
    <x:t>% of Class-3/Total Registered</x:t>
  </x:si>
  <x:si>
    <x:t>R: 100%</x:t>
  </x:si>
  <x:si>
    <x:t>% of Class-4/Total Registered</x:t>
  </x:si>
  <x:si>
    <x:t>% of Class-5/Total Registered</x:t>
  </x:si>
  <x:si>
    <x:t>Children Present in Baseline /Total Registered Children</x:t>
  </x:si>
  <x:si>
    <x:t>R: below 80%
A: 80% to 90%
G: above 90%</x:t>
  </x:si>
  <x:si>
    <x:t>#Children coming in Grade A&amp;B/Total Children present in Baseline- Subject Wise</x:t>
  </x:si>
  <x:si>
    <x:t>R: Greater than 30%
A: 20 to 30%
G: up to 20%</x:t>
  </x:si>
  <x:si>
    <x:t>R: Greater than 20%
A: 11% to 20%
G: up to 10%</x:t>
  </x:si>
  <x:si>
    <x:t>#Children Present in Baselien/Baseline completion days</x:t>
  </x:si>
  <x:si>
    <x:t>R: Greater than 50
A: 35 to 50
G: below 35</x:t>
  </x:si>
  <x:si>
    <x:t>#Children Present in EL/EL completion days</x:t>
  </x:si>
  <x:si>
    <x:t>if first conducted session date is greater then 7 then formula will be:
#Sessions conducted/(Days from Session1/7)</x:t>
  </x:si>
  <x:si>
    <x:t>High - &gt;8
Good - 6-8
Low - below 6</x:t>
  </x:si>
  <x:si>
    <x:t>If no sessions Conducted in last 7 days</x:t>
  </x:si>
  <x:si>
    <x:t>R: days since last session greater than =7 then Idle else Not Idle</x:t>
  </x:si>
  <x:si>
    <x:t>Sum of Present children in all conducted sessions /(Total Registered children * Sessions Conducted)</x:t>
  </x:si>
  <x:si>
    <x:t>R: =100% and less than 30%
A: 31% to 70%
G:greater than 70% to 99%</x:t>
  </x:si>
  <x:si>
    <x:t>#Children present in BL but not present in EL/#children present in BL</x:t>
  </x:si>
  <x:si>
    <x:t>R: above 20%
A: 11% to 20%
G: less than =10%</x:t>
  </x:si>
  <x:si>
    <x:t>#children present at least 1 session/registered children</x:t>
  </x:si>
  <x:si>
    <x:t>#children present in less the 50% session</x:t>
  </x:si>
  <x:si>
    <x:t>#Children Absent in Last 3 session/registered children</x:t>
  </x:si>
  <x:si>
    <x:t>R: if greater than 60%</x:t>
  </x:si>
  <x:si>
    <x:t>Grade %=count of highest grade /no. of children present in Baseline*100</x:t>
  </x:si>
  <x:si>
    <x:t xml:space="preserve">R: greater than 80%
</x:t>
  </x:si>
  <x:si>
    <x:t>%BL- EL Math Same Grade  - Hindi</x:t>
  </x:si>
  <x:si>
    <x:t>Children with same grade in BL&amp;EL/common present children in BL&amp;EL</x:t>
  </x:si>
  <x:si>
    <x:t>R: greater than 30%
A:10% to 30%</x:t>
  </x:si>
  <x:si>
    <x:t>%BL- EL Math Same Grade - Math</x:t>
  </x:si>
  <x:si>
    <x:t>%BL- EL Math Same Grade - English</x:t>
  </x:si>
  <x:si>
    <x:t>Children with grade loss in BL&amp;EL/common present children in BL&amp;EL</x:t>
  </x:si>
  <x:si>
    <x:t>R: greater than 20%
A: 5% to 20%</x:t>
  </x:si>
  <x:si>
    <x:t># FC not Trained on GKP</x:t>
  </x:si>
  <x:si>
    <x:t>R: &gt;=1
A:
G:</x:t>
  </x:si>
  <x:si>
    <x:t># TB not Trained on GKP</x:t>
  </x:si>
  <x:si>
    <x:t>R:&gt;=1
A:
G:</x:t>
  </x:si>
  <x:si>
    <x:t>Registration</x:t>
  </x:si>
  <x:si>
    <x:t>Assessment</x:t>
  </x:si>
  <x:si>
    <x:t>GKP Sessions</x:t>
  </x:si>
  <x:si>
    <x:t>%Schools with Low Registration</x:t>
  </x:si>
  <x:si>
    <x:t>%Schools with High Registration</x:t>
  </x:si>
  <x:si>
    <x:t>%School With Low Baseline</x:t>
  </x:si>
  <x:si>
    <x:t>%School With Low Baseline &amp;Endline</x:t>
  </x:si>
  <x:si>
    <x:t>%Schools - 80% Children in Same Grade</x:t>
  </x:si>
  <x:si>
    <x:t>%Schools with High BL-EL Attrition</x:t>
  </x:si>
  <x:si>
    <x:t>%Schools with Low BL-EL Attrition</x:t>
  </x:si>
  <x:si>
    <x:t>%Schools with Low Regularity</x:t>
  </x:si>
  <x:si>
    <x:t>%Schools with High Regularity</x:t>
  </x:si>
  <x:si>
    <x:t>#Idle Schools</x:t>
  </x:si>
  <x:si>
    <x:t>%Schools with Low Avg Attendance</x:t>
  </x:si>
  <x:si>
    <x:t>%Schools with &gt;95% Avg Attendance</x:t>
  </x:si>
  <x:si>
    <x:t>Take common children present in baseline and endline for calculation/ Total registered children</x:t>
  </x:si>
  <x:si>
    <x:t>Low is Below 50%</x:t>
  </x:si>
  <x:si>
    <x:t>BL</x:t>
  </x:si>
  <x:si>
    <x:t>EL</x:t>
  </x:si>
  <x:si>
    <x:t>C1</x:t>
  </x:si>
  <x:si>
    <x:t>A</x:t>
  </x:si>
  <x:si>
    <x:t>C2</x:t>
  </x:si>
  <x:si>
    <x:t>C3</x:t>
  </x:si>
  <x:si>
    <x:t>C4</x:t>
  </x:si>
  <x:si>
    <x:t>C5</x:t>
  </x:si>
  <x:si>
    <x:t>C6</x:t>
  </x:si>
  <x:si>
    <x:t>C7</x:t>
  </x:si>
  <x:si>
    <x:t>C8</x:t>
  </x:si>
  <x:si>
    <x:t>C9</x:t>
  </x:si>
  <x:si>
    <x:t>C10</x:t>
  </x:si>
  <x:si>
    <x:t>C11</x:t>
  </x:si>
  <x:si>
    <x:t>C12</x:t>
  </x:si>
  <x:si>
    <x:t>D</x:t>
  </x:si>
  <x:si>
    <x:t>C13</x:t>
  </x:si>
  <x:si>
    <x:t>C14</x:t>
  </x:si>
  <x:si>
    <x:t>B</x:t>
  </x:si>
  <x:si>
    <x:t>C15</x:t>
  </x:si>
  <x:si>
    <x:t>C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</x:si>
</x:sst>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7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rgb="FF002060"/>
      <x:name val="Calibri"/>
      <x:family val="2"/>
      <x:scheme val="minor"/>
    </x:font>
    <x:font>
      <x:sz val="8"/>
      <x:color theme="1"/>
      <x:name val="Calibri"/>
      <x:family val="2"/>
      <x:scheme val="minor"/>
    </x:font>
    <x:font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F0000"/>
        <x:bgColor rgb="FFFF0000"/>
      </x:patternFill>
    </x:fill>
    <x:fill>
      <x:patternFill patternType="solid">
        <x:fgColor rgb="FF90EE90"/>
        <x:bgColor rgb="FF90EE90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</x:borders>
  <x:cellStyleXfs count="42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3" fillId="2" borderId="1" applyNumberFormat="0" applyFill="0" applyBorder="1" applyAlignment="0" applyProtection="1">
      <x:protection locked="1" hidden="0"/>
    </x:xf>
    <x:xf numFmtId="0" fontId="3" fillId="5" borderId="1" applyNumberFormat="0" applyFill="0" applyBorder="1" applyAlignment="0" applyProtection="1">
      <x:protection locked="1" hidden="0"/>
    </x:xf>
    <x:xf numFmtId="9" fontId="3" fillId="5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9" fontId="0" fillId="9" borderId="1" applyNumberFormat="0" applyFill="0" applyBorder="1" applyAlignment="0" applyProtection="1">
      <x:protection locked="1" hidden="0"/>
    </x:xf>
    <x:xf numFmtId="9" fontId="0" fillId="10" borderId="1" applyNumberFormat="0" applyFill="0" applyBorder="1" applyAlignment="0" applyProtection="1">
      <x:protection locked="1" hidden="0"/>
    </x:xf>
    <x:xf numFmtId="0" fontId="0" fillId="10" borderId="1" applyNumberFormat="0" applyFill="0" applyBorder="1" applyAlignment="0" applyProtection="1">
      <x:protection locked="1" hidden="0"/>
    </x:xf>
    <x:xf numFmtId="0" fontId="0" fillId="9" borderId="1" applyNumberFormat="0" applyFill="0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9" fontId="3" fillId="3" borderId="1" applyNumberFormat="0" applyFill="0" applyBorder="1" applyAlignment="0" applyProtection="1">
      <x:protection locked="1" hidden="0"/>
    </x:xf>
    <x:xf numFmtId="0" fontId="3" fillId="7" borderId="1" applyNumberFormat="0" applyFill="0" applyBorder="1" applyAlignment="0" applyProtection="1">
      <x:protection locked="1" hidden="0"/>
    </x:xf>
    <x:xf numFmtId="1" fontId="3" fillId="7" borderId="1" applyNumberFormat="0" applyFill="0" applyBorder="1" applyAlignment="0" applyProtection="1">
      <x:protection locked="1" hidden="0"/>
    </x:xf>
    <x:xf numFmtId="9" fontId="3" fillId="7" borderId="1" applyNumberFormat="0" applyFill="0" applyBorder="1" applyAlignment="0" applyProtection="1">
      <x:protection locked="1" hidden="0"/>
    </x:xf>
    <x:xf numFmtId="0" fontId="6" fillId="0" borderId="1" applyNumberFormat="0" applyFill="1" applyBorder="1" applyAlignment="0" applyProtection="1">
      <x:protection locked="1" hidden="0"/>
    </x:xf>
    <x:xf numFmtId="0" fontId="5" fillId="0" borderId="1" applyNumberFormat="0" applyFill="1" applyBorder="1" applyAlignment="0" applyProtection="1">
      <x:protection locked="1" hidden="0"/>
    </x:xf>
    <x:xf numFmtId="0" fontId="3" fillId="3" borderId="1" applyNumberFormat="0" applyFill="0" applyBorder="1" applyAlignment="0" applyProtection="1">
      <x:protection locked="1" hidden="0"/>
    </x:xf>
    <x:xf numFmtId="0" fontId="3" fillId="8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3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1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6" borderId="1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1" fillId="2" borderId="3" applyNumberFormat="0" applyFill="0" applyBorder="1" applyAlignment="0" applyProtection="1">
      <x:protection locked="1" hidden="0"/>
    </x:xf>
    <x:xf numFmtId="0" fontId="0" fillId="0" borderId="3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</x:cellStyleXfs>
  <x:cellXfs count="83">
    <x:xf numFmtId="0" fontId="0" fillId="0" borderId="0" xfId="0"/>
    <x:xf numFmtId="0" fontId="1" fillId="2" borderId="1" xfId="0" applyFont="1" applyFill="1" applyBorder="1" applyAlignment="1" applyProtection="1">
      <x:alignment horizontal="center" vertical="center" wrapText="1"/>
    </x:xf>
    <x:xf numFmtId="0" fontId="1" fillId="3" borderId="1" xfId="0" applyFont="1" applyFill="1" applyBorder="1" applyAlignment="1" applyProtection="1">
      <x:alignment horizontal="center" vertical="center" wrapText="1"/>
    </x:xf>
    <x:xf numFmtId="0" fontId="0" fillId="0" borderId="0" xfId="0" applyBorder="1" applyAlignment="1">
      <x:alignment horizontal="center"/>
    </x:xf>
    <x:xf numFmtId="0" fontId="1" fillId="4" borderId="1" xfId="0" applyFont="1" applyFill="1" applyBorder="1" applyAlignment="1" applyProtection="1">
      <x:alignment horizontal="center" vertical="center" textRotation="90" wrapText="1"/>
    </x:xf>
    <x:xf numFmtId="0" fontId="0" fillId="0" borderId="0" xfId="0" applyAlignment="1"/>
    <x:xf numFmtId="0" fontId="1" fillId="0" borderId="1" xfId="0" applyFont="1" applyFill="1" applyBorder="1" applyAlignment="1" applyProtection="1">
      <x:alignment vertical="center" wrapText="1"/>
    </x:xf>
    <x:xf numFmtId="0" fontId="0" fillId="0" borderId="0" xfId="0" applyFill="1" applyAlignment="1">
      <x:alignment horizontal="center" vertical="center" textRotation="90" wrapText="1"/>
    </x:xf>
    <x:xf numFmtId="0" fontId="3" fillId="5" borderId="1" xfId="0" applyFont="1" applyFill="1" applyBorder="1" applyAlignment="1" applyProtection="1">
      <x:alignment horizontal="center" vertical="center" textRotation="90" wrapText="1"/>
    </x:xf>
    <x:xf numFmtId="0" fontId="3" fillId="2" borderId="1" xfId="0" applyFont="1" applyFill="1" applyBorder="1" applyAlignment="1" applyProtection="1">
      <x:alignment horizontal="center" vertical="center" wrapText="1"/>
    </x:xf>
    <x:xf numFmtId="9" fontId="3" fillId="5" borderId="1" xfId="1" applyFont="1" applyFill="1" applyBorder="1" applyAlignment="1" applyProtection="1">
      <x:alignment horizontal="center" vertical="center" textRotation="90" wrapText="1"/>
    </x:xf>
    <x:xf numFmtId="9" fontId="0" fillId="0" borderId="0" xfId="1" applyFont="1" applyAlignment="1"/>
    <x:xf numFmtId="0" fontId="1" fillId="0" borderId="1" xfId="0" applyFont="1" applyFill="1" applyBorder="1" applyAlignment="1" applyProtection="1">
      <x:alignment horizontal="center"/>
    </x:xf>
    <x:xf numFmtId="0" fontId="1" fillId="0" borderId="1" xfId="0" applyFont="1" applyFill="1" applyBorder="1" applyAlignment="1" applyProtection="1">
      <x:alignment horizontal="left" vertical="center" wrapText="1"/>
    </x:xf>
    <x:xf numFmtId="0" fontId="1" fillId="0" borderId="1" xfId="0" applyFont="1" applyFill="1" applyBorder="1" applyAlignment="1" applyProtection="1">
      <x:alignment horizontal="center" vertical="center" wrapText="1"/>
    </x:xf>
    <x:xf numFmtId="0" fontId="0" fillId="0" borderId="1" xfId="0" applyFill="1" applyBorder="1" applyAlignment="1" applyProtection="1">
      <x:alignment horizontal="left" vertical="center" wrapText="1"/>
    </x:xf>
    <x:xf numFmtId="0" fontId="0" fillId="0" borderId="1" xfId="0" applyFill="1" applyBorder="1" applyAlignment="1" applyProtection="1">
      <x:alignment vertical="center" wrapText="1"/>
    </x:xf>
    <x:xf numFmtId="0" fontId="0" fillId="6" borderId="1" xfId="0" applyFill="1" applyBorder="1" applyAlignment="1" applyProtection="1">
      <x:alignment vertical="center" wrapText="1"/>
    </x:xf>
    <x:xf numFmtId="0" fontId="3" fillId="2" borderId="1" xfId="0" applyFont="1" applyFill="1" applyBorder="1" applyAlignment="1" applyProtection="1">
      <x:alignment horizontal="center" vertical="center" textRotation="90" wrapText="1"/>
    </x:xf>
    <x:xf numFmtId="0" fontId="3" fillId="3" borderId="1" xfId="0" applyFont="1" applyFill="1" applyBorder="1" applyAlignment="1" applyProtection="1">
      <x:alignment horizontal="center" vertical="center" textRotation="90" wrapText="1"/>
    </x:xf>
    <x:xf numFmtId="0" fontId="3" fillId="7" borderId="1" xfId="0" applyFont="1" applyFill="1" applyBorder="1" applyAlignment="1" applyProtection="1">
      <x:alignment horizontal="center" vertical="center" textRotation="90" wrapText="1"/>
    </x:xf>
    <x:xf numFmtId="9" fontId="3" fillId="7" borderId="1" xfId="0" applyNumberFormat="1" applyFont="1" applyFill="1" applyBorder="1" applyAlignment="1" applyProtection="1">
      <x:alignment horizontal="center" vertical="center" textRotation="90" wrapText="1"/>
    </x:xf>
    <x:xf numFmtId="0" fontId="3" fillId="8" borderId="1" xfId="0" applyFont="1" applyFill="1" applyBorder="1" applyAlignment="1" applyProtection="1">
      <x:alignment horizontal="center" vertical="center" textRotation="90" wrapText="1"/>
    </x:xf>
    <x:xf numFmtId="0" fontId="0" fillId="0" borderId="0" xfId="0" applyFill="1" applyAlignment="1" applyProtection="1">
      <x:alignment horizontal="center" vertical="center" textRotation="90" wrapText="1"/>
    </x:xf>
    <x:xf numFmtId="0" fontId="0" fillId="0" borderId="1" xfId="0" applyBorder="1" applyAlignment="1">
      <x:alignment vertical="center" wrapText="1"/>
    </x:xf>
    <x:xf numFmtId="0" fontId="0" fillId="0" borderId="0" xfId="0" applyAlignment="1">
      <x:alignment vertical="center" wrapText="1"/>
    </x:xf>
    <x:xf numFmtId="0" fontId="0" fillId="3" borderId="1" xfId="0" applyFill="1" applyBorder="1" applyAlignment="1">
      <x:alignment vertical="center" wrapText="1"/>
    </x:xf>
    <x:xf numFmtId="0" fontId="0" fillId="0" borderId="1" xfId="0" applyFill="1" applyBorder="1" applyAlignment="1">
      <x:alignment vertical="center" wrapText="1"/>
    </x:xf>
    <x:xf numFmtId="0" fontId="0" fillId="0" borderId="1" xfId="0" applyBorder="1" applyAlignment="1">
      <x:alignment wrapText="1"/>
    </x:xf>
    <x:xf numFmtId="0" fontId="4" fillId="0" borderId="1" xfId="0" applyFont="1" applyBorder="1" applyAlignment="1">
      <x:alignment wrapText="1"/>
    </x:xf>
    <x:xf numFmtId="0" fontId="0" fillId="0" borderId="0" xfId="0" applyAlignment="1">
      <x:alignment wrapText="1"/>
    </x:xf>
    <x:xf numFmtId="1" fontId="3" fillId="7" borderId="1" xfId="1" applyNumberFormat="1" applyFont="1" applyFill="1" applyBorder="1" applyAlignment="1" applyProtection="1">
      <x:alignment horizontal="center" vertical="center" textRotation="90" wrapText="1"/>
    </x:xf>
    <x:xf numFmtId="9" fontId="3" fillId="7" borderId="1" xfId="1" applyFont="1" applyFill="1" applyBorder="1" applyAlignment="1" applyProtection="1">
      <x:alignment horizontal="center" vertical="center" textRotation="90" wrapText="1"/>
    </x:xf>
    <x:xf numFmtId="1" fontId="3" fillId="7" borderId="1" xfId="0" applyNumberFormat="1" applyFont="1" applyFill="1" applyBorder="1" applyAlignment="1" applyProtection="1">
      <x:alignment horizontal="center" vertical="center" textRotation="90" wrapText="1"/>
    </x:xf>
    <x:xf numFmtId="9" fontId="0" fillId="0" borderId="0" xfId="1" applyFont="1"/>
    <x:xf numFmtId="9" fontId="3" fillId="3" borderId="1" xfId="1" applyFont="1" applyFill="1" applyBorder="1" applyAlignment="1" applyProtection="1">
      <x:alignment horizontal="center" vertical="center" textRotation="90" wrapText="1"/>
    </x:xf>
    <x:xf numFmtId="0" fontId="0" fillId="0" borderId="1" xfId="0" applyFill="1" applyBorder="1" applyProtection="1"/>
    <x:xf numFmtId="0" fontId="0" fillId="0" borderId="1" xfId="0" applyFill="1" applyBorder="1" applyAlignment="1" applyProtection="1">
      <x:alignment horizontal="center" vertical="center" wrapText="1"/>
    </x:xf>
    <x:xf numFmtId="0" fontId="4" fillId="0" borderId="1" xfId="0" applyFont="1" applyFill="1" applyBorder="1" applyAlignment="1" applyProtection="1">
      <x:alignment wrapText="1"/>
    </x:xf>
    <x:xf numFmtId="0" fontId="5" fillId="0" borderId="1" xfId="0" applyFont="1" applyFill="1" applyBorder="1" applyProtection="1"/>
    <x:xf numFmtId="0" fontId="1" fillId="2" borderId="2" xfId="0" applyFont="1" applyFill="1" applyBorder="1" applyAlignment="1" applyProtection="1">
      <x:alignment horizontal="center" vertical="center" wrapText="1"/>
    </x:xf>
    <x:xf numFmtId="0" fontId="1" fillId="2" borderId="3" xfId="0" applyFont="1" applyFill="1" applyBorder="1" applyAlignment="1" applyProtection="1">
      <x:alignment horizontal="center" vertical="center" wrapText="1"/>
    </x:xf>
    <x:xf numFmtId="0" fontId="0" fillId="0" borderId="3" xfId="0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3" fillId="5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9" fontId="3" fillId="5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9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10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0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9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9" fontId="3" fillId="3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3" fillId="7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1" fontId="3" fillId="7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9" fontId="3" fillId="7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6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3" fillId="8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3" borderId="1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6" borderId="1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3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B1"/>
  <x:sheetViews>
    <x:sheetView tabSelected="1" workbookViewId="0">
      <x:pane xSplit="0" ySplit="1" topLeftCell="A2" activePane="bottomLeft" state="frozenSplit"/>
      <x:selection activeCell="C2" sqref="C2 C2:C2"/>
    </x:sheetView>
  </x:sheetViews>
  <x:sheetFormatPr defaultColWidth="9.140625" defaultRowHeight="15" x14ac:dyDescent="0.25"/>
  <x:cols>
    <x:col min="1" max="1" width="20.140625" style="43" customWidth="1"/>
    <x:col min="2" max="2" width="10.5703125" style="43" bestFit="1" customWidth="1"/>
    <x:col min="3" max="3" width="19.140625" style="43" customWidth="1"/>
    <x:col min="4" max="4" width="12.28515625" style="43" bestFit="1" customWidth="1"/>
    <x:col min="5" max="5" width="19.5703125" style="43" bestFit="1" customWidth="1"/>
    <x:col min="6" max="6" width="18.85546875" style="43" bestFit="1" customWidth="1"/>
    <x:col min="7" max="7" width="11.42578125" style="43" bestFit="1" customWidth="1"/>
    <x:col min="8" max="8" width="10.7109375" style="43" bestFit="1" customWidth="1"/>
    <x:col min="9" max="9" width="16.5703125" style="43" bestFit="1" customWidth="1"/>
    <x:col min="10" max="10" width="15.85546875" style="43" bestFit="1" customWidth="1"/>
    <x:col min="11" max="11" width="13.140625" style="43" bestFit="1" customWidth="1"/>
    <x:col min="12" max="12" width="12.28515625" style="43" bestFit="1" customWidth="1"/>
    <x:col min="13" max="13" width="15.85546875" style="43" bestFit="1" customWidth="1"/>
    <x:col min="14" max="14" width="15.140625" style="43" bestFit="1" customWidth="1"/>
    <x:col min="15" max="15" width="16.85546875" style="43" customWidth="1"/>
    <x:col min="16" max="16" width="16.28515625" style="43" customWidth="1"/>
    <x:col min="17" max="17" width="23.42578125" style="43" customWidth="1"/>
    <x:col min="18" max="18" width="16" style="43" customWidth="1"/>
    <x:col min="19" max="19" width="9.85546875" style="43" customWidth="1"/>
    <x:col min="20" max="20" width="6.5703125" style="43" bestFit="1" customWidth="1"/>
    <x:col min="21" max="21" width="16.85546875" style="43" customWidth="1"/>
    <x:col min="22" max="22" width="7.42578125" style="53" customWidth="1"/>
    <x:col min="23" max="23" width="6.140625" style="53" customWidth="1"/>
    <x:col min="24" max="24" width="6.42578125" style="53" customWidth="1"/>
    <x:col min="25" max="25" width="6.5703125" style="53" bestFit="1" customWidth="1"/>
    <x:col min="26" max="28" width="9.42578125" style="53" bestFit="1" customWidth="1"/>
    <x:col min="29" max="29" width="8.28515625" style="43" customWidth="1"/>
    <x:col min="30" max="30" width="7.42578125" style="43" customWidth="1"/>
    <x:col min="31" max="31" width="5.140625" style="43" customWidth="1"/>
    <x:col min="32" max="32" width="6.5703125" style="43" customWidth="1"/>
    <x:col min="33" max="33" width="9.42578125" style="53" bestFit="1" customWidth="1"/>
    <x:col min="34" max="34" width="6.28515625" style="53" customWidth="1"/>
    <x:col min="35" max="35" width="8.85546875" style="53" customWidth="1"/>
    <x:col min="36" max="36" width="9.42578125" style="43" bestFit="1" customWidth="1"/>
    <x:col min="37" max="43" width="6.5703125" style="53" bestFit="1" customWidth="1"/>
    <x:col min="44" max="46" width="9.42578125" style="53" bestFit="1" customWidth="1"/>
    <x:col min="47" max="49" width="6.5703125" style="53" bestFit="1" customWidth="1"/>
    <x:col min="50" max="53" width="6.5703125" style="43" bestFit="1" customWidth="1"/>
    <x:col min="54" max="16384" width="9.140625" style="43" customWidth="1"/>
  </x:cols>
  <x:sheetData>
    <x:row r="1" spans="1:54" s="54" customFormat="1" ht="96.75" customHeight="1" x14ac:dyDescent="0.25">
      <x:c r="A1" s="44" t="s">
        <x:v>0</x:v>
      </x:c>
      <x:c r="B1" s="44" t="s">
        <x:v>1</x:v>
      </x:c>
      <x:c r="C1" s="44" t="s">
        <x:v>2</x:v>
      </x:c>
      <x:c r="D1" s="44" t="s">
        <x:v>3</x:v>
      </x:c>
      <x:c r="E1" s="44" t="s">
        <x:v>4</x:v>
      </x:c>
      <x:c r="F1" s="44" t="s">
        <x:v>5</x:v>
      </x:c>
      <x:c r="G1" s="44" t="s">
        <x:v>6</x:v>
      </x:c>
      <x:c r="H1" s="44" t="s">
        <x:v>7</x:v>
      </x:c>
      <x:c r="I1" s="44" t="s">
        <x:v>8</x:v>
      </x:c>
      <x:c r="J1" s="44" t="s">
        <x:v>9</x:v>
      </x:c>
      <x:c r="K1" s="44" t="s">
        <x:v>10</x:v>
      </x:c>
      <x:c r="L1" s="44" t="s">
        <x:v>11</x:v>
      </x:c>
      <x:c r="M1" s="44" t="s">
        <x:v>12</x:v>
      </x:c>
      <x:c r="N1" s="44" t="s">
        <x:v>13</x:v>
      </x:c>
      <x:c r="O1" s="44" t="s">
        <x:v>14</x:v>
      </x:c>
      <x:c r="P1" s="44" t="s">
        <x:v>15</x:v>
      </x:c>
      <x:c r="Q1" s="44" t="s">
        <x:v>16</x:v>
      </x:c>
      <x:c r="R1" s="44" t="s">
        <x:v>17</x:v>
      </x:c>
      <x:c r="S1" s="45" t="s">
        <x:v>18</x:v>
      </x:c>
      <x:c r="T1" s="45" t="s">
        <x:v>19</x:v>
      </x:c>
      <x:c r="U1" s="45" t="s">
        <x:v>20</x:v>
      </x:c>
      <x:c r="V1" s="46" t="s">
        <x:v>21</x:v>
      </x:c>
      <x:c r="W1" s="46" t="s">
        <x:v>22</x:v>
      </x:c>
      <x:c r="X1" s="46" t="s">
        <x:v>23</x:v>
      </x:c>
      <x:c r="Y1" s="46" t="s">
        <x:v>24</x:v>
      </x:c>
      <x:c r="Z1" s="46" t="s">
        <x:v>25</x:v>
      </x:c>
      <x:c r="AA1" s="46" t="s">
        <x:v>26</x:v>
      </x:c>
      <x:c r="AB1" s="46" t="s">
        <x:v>27</x:v>
      </x:c>
      <x:c r="AC1" s="45" t="s">
        <x:v>28</x:v>
      </x:c>
      <x:c r="AD1" s="45" t="s">
        <x:v>29</x:v>
      </x:c>
      <x:c r="AE1" s="45" t="s">
        <x:v>30</x:v>
      </x:c>
      <x:c r="AF1" s="45" t="s">
        <x:v>31</x:v>
      </x:c>
      <x:c r="AG1" s="46" t="s">
        <x:v>32</x:v>
      </x:c>
      <x:c r="AH1" s="46" t="s">
        <x:v>33</x:v>
      </x:c>
      <x:c r="AI1" s="46" t="s">
        <x:v>34</x:v>
      </x:c>
      <x:c r="AJ1" s="45" t="s">
        <x:v>35</x:v>
      </x:c>
      <x:c r="AK1" s="46" t="s">
        <x:v>36</x:v>
      </x:c>
      <x:c r="AL1" s="46" t="s">
        <x:v>37</x:v>
      </x:c>
      <x:c r="AM1" s="46" t="s">
        <x:v>38</x:v>
      </x:c>
      <x:c r="AN1" s="46" t="s">
        <x:v>39</x:v>
      </x:c>
      <x:c r="AO1" s="46" t="s">
        <x:v>40</x:v>
      </x:c>
      <x:c r="AP1" s="46" t="s">
        <x:v>41</x:v>
      </x:c>
      <x:c r="AQ1" s="46" t="s">
        <x:v>42</x:v>
      </x:c>
      <x:c r="AR1" s="46" t="s">
        <x:v>43</x:v>
      </x:c>
      <x:c r="AS1" s="46" t="s">
        <x:v>44</x:v>
      </x:c>
      <x:c r="AT1" s="46" t="s">
        <x:v>45</x:v>
      </x:c>
      <x:c r="AU1" s="46" t="s">
        <x:v>46</x:v>
      </x:c>
      <x:c r="AV1" s="46" t="s">
        <x:v>47</x:v>
      </x:c>
      <x:c r="AW1" s="46" t="s">
        <x:v>48</x:v>
      </x:c>
      <x:c r="AX1" s="45" t="s">
        <x:v>49</x:v>
      </x:c>
      <x:c r="AY1" s="45" t="s">
        <x:v>50</x:v>
      </x:c>
      <x:c r="AZ1" s="45" t="s">
        <x:v>51</x:v>
      </x:c>
      <x:c r="BA1" s="45" t="s">
        <x:v>52</x:v>
      </x:c>
      <x:c r="BB1" s="45" t="s">
        <x:v>53</x:v>
      </x:c>
    </x:row>
    <x:row r="2" spans="1:54">
      <x:c r="A2" s="47" t="s">
        <x:v>54</x:v>
      </x:c>
      <x:c r="B2" s="47" t="s">
        <x:v>55</x:v>
      </x:c>
      <x:c r="C2" s="47" t="s">
        <x:v>56</x:v>
      </x:c>
      <x:c r="D2" s="47" t="s">
        <x:v>57</x:v>
      </x:c>
      <x:c r="E2" s="47" t="s">
        <x:v>56</x:v>
      </x:c>
      <x:c r="F2" s="47" t="n">
        <x:v>941</x:v>
      </x:c>
      <x:c r="G2" s="47" t="s">
        <x:v>56</x:v>
      </x:c>
      <x:c r="H2" s="47" t="s">
        <x:v>58</x:v>
      </x:c>
      <x:c r="I2" s="47" t="s">
        <x:v>56</x:v>
      </x:c>
      <x:c r="J2" s="47" t="n">
        <x:v>94101</x:v>
      </x:c>
      <x:c r="K2" s="47" t="s">
        <x:v>59</x:v>
      </x:c>
      <x:c r="L2" s="47" t="n">
        <x:v>94101023</x:v>
      </x:c>
      <x:c r="M2" s="47" t="s">
        <x:v>60</x:v>
      </x:c>
      <x:c r="N2" s="47" t="n">
        <x:v>94101011</x:v>
      </x:c>
      <x:c r="O2" s="47" t="s">
        <x:v>60</x:v>
      </x:c>
      <x:c r="P2" s="47" t="n">
        <x:v>94101011</x:v>
      </x:c>
      <x:c r="Q2" s="47" t="s">
        <x:v>61</x:v>
      </x:c>
      <x:c r="R2" s="47" t="n">
        <x:v>9410101104</x:v>
      </x:c>
      <x:c r="S2" s="47" t="n">
        <x:v>4</x:v>
      </x:c>
      <x:c r="T2" s="47" t="n">
        <x:v>1</x:v>
      </x:c>
      <x:c r="U2" s="47" t="s">
        <x:v>62</x:v>
      </x:c>
      <x:c r="V2" s="48" t="s"/>
      <x:c r="W2" s="49" t="n">
        <x:v>1</x:v>
      </x:c>
      <x:c r="X2" s="48" t="s"/>
      <x:c r="Y2" s="50" t="n">
        <x:v>1</x:v>
      </x:c>
      <x:c r="Z2" s="49" t="n">
        <x:v>1</x:v>
      </x:c>
      <x:c r="AA2" s="48" t="s"/>
      <x:c r="AB2" s="48" t="s"/>
      <x:c r="AC2" s="51" t="n">
        <x:v>1</x:v>
      </x:c>
      <x:c r="AD2" s="47" t="n">
        <x:v>0</x:v>
      </x:c>
      <x:c r="AE2" s="47" t="s">
        <x:v>63</x:v>
      </x:c>
      <x:c r="AF2" s="47" t="s">
        <x:v>64</x:v>
      </x:c>
      <x:c r="AG2" s="50" t="n">
        <x:v>0.75</x:v>
      </x:c>
      <x:c r="AH2" s="48" t="n">
        <x:v>0</x:v>
      </x:c>
      <x:c r="AI2" s="50" t="n">
        <x:v>1</x:v>
      </x:c>
      <x:c r="AJ2" s="47" t="n">
        <x:v>0</x:v>
      </x:c>
      <x:c r="AK2" s="48" t="n">
        <x:v>0</x:v>
      </x:c>
      <x:c r="AL2" s="49" t="n">
        <x:v>1</x:v>
      </x:c>
      <x:c r="AM2" s="49" t="n">
        <x:v>1</x:v>
      </x:c>
      <x:c r="AN2" s="49" t="n">
        <x:v>1</x:v>
      </x:c>
      <x:c r="AO2" s="48" t="s"/>
      <x:c r="AP2" s="48" t="s"/>
      <x:c r="AQ2" s="48" t="s"/>
      <x:c r="AR2" s="48" t="s"/>
      <x:c r="AS2" s="48" t="s"/>
      <x:c r="AT2" s="48" t="s"/>
      <x:c r="AU2" s="48" t="s"/>
      <x:c r="AV2" s="48" t="s"/>
      <x:c r="AW2" s="48" t="s"/>
      <x:c r="AX2" s="47" t="n">
        <x:v>0</x:v>
      </x:c>
      <x:c r="AY2" s="47" t="n">
        <x:v>5</x:v>
      </x:c>
      <x:c r="AZ2" s="52" t="n">
        <x:v>1</x:v>
      </x:c>
      <x:c r="BA2" s="52" t="n">
        <x:v>1</x:v>
      </x:c>
      <x:c r="BB2" s="47" t="n">
        <x:v>0</x:v>
      </x:c>
    </x:row>
    <x:row r="3" spans="1:54">
      <x:c r="A3" s="47" t="s"/>
      <x:c r="B3" s="47" t="s"/>
      <x:c r="C3" s="47" t="s"/>
      <x:c r="D3" s="47" t="s"/>
      <x:c r="E3" s="47" t="s"/>
      <x:c r="F3" s="47" t="s"/>
      <x:c r="G3" s="47" t="s"/>
      <x:c r="H3" s="47" t="s"/>
      <x:c r="I3" s="47" t="s"/>
      <x:c r="J3" s="47" t="s"/>
      <x:c r="K3" s="47" t="s"/>
      <x:c r="L3" s="47" t="s"/>
      <x:c r="M3" s="47" t="s"/>
      <x:c r="N3" s="47" t="s"/>
      <x:c r="O3" s="47" t="s"/>
      <x:c r="P3" s="47" t="s"/>
      <x:c r="Q3" s="47" t="s"/>
      <x:c r="R3" s="47" t="s"/>
      <x:c r="S3" s="47" t="s"/>
      <x:c r="T3" s="47" t="s"/>
      <x:c r="U3" s="47" t="s"/>
      <x:c r="V3" s="48" t="s"/>
      <x:c r="W3" s="48" t="s"/>
      <x:c r="X3" s="48" t="s"/>
      <x:c r="Y3" s="48" t="s"/>
      <x:c r="Z3" s="48" t="s"/>
      <x:c r="AA3" s="48" t="s"/>
      <x:c r="AB3" s="48" t="s"/>
      <x:c r="AC3" s="47" t="s"/>
      <x:c r="AD3" s="47" t="s"/>
      <x:c r="AE3" s="47" t="s"/>
      <x:c r="AF3" s="47" t="s"/>
      <x:c r="AG3" s="48" t="s"/>
      <x:c r="AH3" s="48" t="s"/>
      <x:c r="AI3" s="48" t="s"/>
      <x:c r="AJ3" s="47" t="s"/>
      <x:c r="AK3" s="48" t="s"/>
      <x:c r="AL3" s="48" t="s"/>
      <x:c r="AM3" s="48" t="s"/>
      <x:c r="AN3" s="48" t="s"/>
      <x:c r="AO3" s="48" t="s"/>
      <x:c r="AP3" s="48" t="s"/>
      <x:c r="AQ3" s="48" t="s"/>
      <x:c r="AR3" s="48" t="s"/>
      <x:c r="AS3" s="48" t="s"/>
      <x:c r="AT3" s="48" t="s"/>
      <x:c r="AU3" s="48" t="s"/>
      <x:c r="AV3" s="48" t="s"/>
      <x:c r="AW3" s="48" t="s"/>
      <x:c r="AX3" s="47" t="s"/>
      <x:c r="AY3" s="47" t="s"/>
      <x:c r="AZ3" s="47" t="s"/>
      <x:c r="BA3" s="47" t="s"/>
      <x:c r="BB3" s="47" t="s"/>
    </x:row>
    <x:row r="4" spans="1:54">
      <x:c r="A4" s="47" t="s"/>
      <x:c r="B4" s="47" t="s"/>
      <x:c r="C4" s="47" t="s"/>
      <x:c r="D4" s="47" t="s"/>
      <x:c r="E4" s="47" t="s"/>
      <x:c r="F4" s="47" t="s"/>
      <x:c r="G4" s="47" t="s"/>
      <x:c r="H4" s="47" t="s"/>
      <x:c r="I4" s="47" t="s"/>
      <x:c r="J4" s="47" t="s"/>
      <x:c r="K4" s="47" t="s"/>
      <x:c r="L4" s="47" t="s"/>
      <x:c r="M4" s="47" t="s"/>
      <x:c r="N4" s="47" t="s"/>
      <x:c r="O4" s="47" t="s"/>
      <x:c r="P4" s="47" t="s"/>
      <x:c r="Q4" s="47" t="s"/>
      <x:c r="R4" s="47" t="s"/>
      <x:c r="S4" s="47" t="s"/>
      <x:c r="T4" s="47" t="s"/>
      <x:c r="U4" s="47" t="s"/>
      <x:c r="V4" s="48" t="s"/>
      <x:c r="W4" s="48" t="s"/>
      <x:c r="X4" s="48" t="s"/>
      <x:c r="Y4" s="48" t="s"/>
      <x:c r="Z4" s="48" t="s"/>
      <x:c r="AA4" s="48" t="s"/>
      <x:c r="AB4" s="48" t="s"/>
      <x:c r="AC4" s="47" t="s"/>
      <x:c r="AD4" s="47" t="s"/>
      <x:c r="AE4" s="47" t="s"/>
      <x:c r="AF4" s="47" t="s"/>
      <x:c r="AG4" s="48" t="s"/>
      <x:c r="AH4" s="48" t="s"/>
      <x:c r="AI4" s="48" t="s"/>
      <x:c r="AJ4" s="47" t="s"/>
      <x:c r="AK4" s="48" t="s"/>
      <x:c r="AL4" s="48" t="s"/>
      <x:c r="AM4" s="48" t="s"/>
      <x:c r="AN4" s="48" t="s"/>
      <x:c r="AO4" s="48" t="s"/>
      <x:c r="AP4" s="48" t="s"/>
      <x:c r="AQ4" s="48" t="s"/>
      <x:c r="AR4" s="48" t="s"/>
      <x:c r="AS4" s="48" t="s"/>
      <x:c r="AT4" s="48" t="s"/>
      <x:c r="AU4" s="48" t="s"/>
      <x:c r="AV4" s="48" t="s"/>
      <x:c r="AW4" s="48" t="s"/>
      <x:c r="AX4" s="47" t="s"/>
      <x:c r="AY4" s="47" t="s"/>
      <x:c r="AZ4" s="47" t="s"/>
      <x:c r="BA4" s="47" t="s"/>
      <x:c r="BB4" s="47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O1"/>
  <x:sheetViews>
    <x:sheetView workbookViewId="0">
      <x:selection activeCell="G2" sqref="G2 G2:G2"/>
    </x:sheetView>
  </x:sheetViews>
  <x:sheetFormatPr defaultRowHeight="15" x14ac:dyDescent="0.25"/>
  <x:cols>
    <x:col min="1" max="1" width="19.5703125" style="43" customWidth="1"/>
    <x:col min="2" max="2" width="14.28515625" style="43" customWidth="1"/>
    <x:col min="3" max="3" width="21.5703125" style="43" customWidth="1"/>
    <x:col min="4" max="4" width="16.28515625" style="43" customWidth="1"/>
    <x:col min="5" max="5" width="18.85546875" style="43" customWidth="1"/>
    <x:col min="6" max="6" width="13.7109375" style="43" customWidth="1"/>
    <x:col min="7" max="7" width="19.85546875" style="43" customWidth="1"/>
    <x:col min="8" max="8" width="9.140625" style="43" customWidth="1"/>
    <x:col min="9" max="9" width="0" style="53" hidden="1" customWidth="1"/>
    <x:col min="10" max="17" width="9.140625" style="43" customWidth="1"/>
    <x:col min="18" max="38" width="9.140625" style="53" customWidth="1"/>
  </x:cols>
  <x:sheetData>
    <x:row r="1" spans="1:41" s="54" customFormat="1" ht="144" customHeight="1" x14ac:dyDescent="0.25">
      <x:c r="A1" s="44" t="s">
        <x:v>0</x:v>
      </x:c>
      <x:c r="B1" s="44" t="s">
        <x:v>1</x:v>
      </x:c>
      <x:c r="C1" s="44" t="s">
        <x:v>2</x:v>
      </x:c>
      <x:c r="D1" s="44" t="s">
        <x:v>3</x:v>
      </x:c>
      <x:c r="E1" s="44" t="s">
        <x:v>4</x:v>
      </x:c>
      <x:c r="F1" s="44" t="s">
        <x:v>5</x:v>
      </x:c>
      <x:c r="G1" s="44" t="s">
        <x:v>6</x:v>
      </x:c>
      <x:c r="H1" s="44" t="s">
        <x:v>7</x:v>
      </x:c>
      <x:c r="I1" s="55" t="s">
        <x:v>65</x:v>
      </x:c>
      <x:c r="J1" s="56" t="s">
        <x:v>66</x:v>
      </x:c>
      <x:c r="K1" s="56" t="s">
        <x:v>19</x:v>
      </x:c>
      <x:c r="L1" s="56" t="s">
        <x:v>67</x:v>
      </x:c>
      <x:c r="M1" s="56" t="s">
        <x:v>68</x:v>
      </x:c>
      <x:c r="N1" s="56" t="s">
        <x:v>69</x:v>
      </x:c>
      <x:c r="O1" s="56" t="s">
        <x:v>70</x:v>
      </x:c>
      <x:c r="P1" s="56" t="s">
        <x:v>71</x:v>
      </x:c>
      <x:c r="Q1" s="57" t="s">
        <x:v>72</x:v>
      </x:c>
      <x:c r="R1" s="58" t="s">
        <x:v>73</x:v>
      </x:c>
      <x:c r="S1" s="58" t="s">
        <x:v>74</x:v>
      </x:c>
      <x:c r="T1" s="58" t="s">
        <x:v>75</x:v>
      </x:c>
      <x:c r="U1" s="58" t="s">
        <x:v>76</x:v>
      </x:c>
      <x:c r="V1" s="58" t="s">
        <x:v>77</x:v>
      </x:c>
      <x:c r="W1" s="58" t="s">
        <x:v>78</x:v>
      </x:c>
      <x:c r="X1" s="58" t="s">
        <x:v>79</x:v>
      </x:c>
      <x:c r="Y1" s="58" t="s">
        <x:v>80</x:v>
      </x:c>
      <x:c r="Z1" s="58" t="s">
        <x:v>81</x:v>
      </x:c>
      <x:c r="AA1" s="58" t="s">
        <x:v>82</x:v>
      </x:c>
      <x:c r="AB1" s="58" t="s">
        <x:v>83</x:v>
      </x:c>
      <x:c r="AC1" s="58" t="s">
        <x:v>84</x:v>
      </x:c>
      <x:c r="AD1" s="58" t="s">
        <x:v>85</x:v>
      </x:c>
      <x:c r="AE1" s="58" t="s">
        <x:v>86</x:v>
      </x:c>
      <x:c r="AF1" s="58" t="s">
        <x:v>87</x:v>
      </x:c>
      <x:c r="AG1" s="58" t="s">
        <x:v>43</x:v>
      </x:c>
      <x:c r="AH1" s="58" t="s">
        <x:v>44</x:v>
      </x:c>
      <x:c r="AI1" s="58" t="s">
        <x:v>45</x:v>
      </x:c>
      <x:c r="AJ1" s="58" t="s">
        <x:v>46</x:v>
      </x:c>
      <x:c r="AK1" s="58" t="s">
        <x:v>47</x:v>
      </x:c>
      <x:c r="AL1" s="58" t="s">
        <x:v>48</x:v>
      </x:c>
      <x:c r="AM1" s="56" t="s">
        <x:v>51</x:v>
      </x:c>
      <x:c r="AN1" s="56" t="s">
        <x:v>52</x:v>
      </x:c>
      <x:c r="AO1" s="56" t="s">
        <x:v>53</x:v>
      </x:c>
    </x:row>
    <x:row r="2" spans="1:41">
      <x:c r="A2" s="59" t="s">
        <x:v>54</x:v>
      </x:c>
      <x:c r="B2" s="59" t="s">
        <x:v>55</x:v>
      </x:c>
      <x:c r="C2" s="59" t="s">
        <x:v>56</x:v>
      </x:c>
      <x:c r="D2" s="59" t="s">
        <x:v>57</x:v>
      </x:c>
      <x:c r="E2" s="59" t="s">
        <x:v>56</x:v>
      </x:c>
      <x:c r="F2" s="59" t="s">
        <x:v>88</x:v>
      </x:c>
      <x:c r="G2" s="59" t="s">
        <x:v>56</x:v>
      </x:c>
      <x:c r="H2" s="59" t="s">
        <x:v>58</x:v>
      </x:c>
      <x:c r="I2" s="48" t="n">
        <x:v>0.307692307692308</x:v>
      </x:c>
      <x:c r="J2" s="59" t="n">
        <x:v>100</x:v>
      </x:c>
      <x:c r="K2" s="59" t="n">
        <x:v>1</x:v>
      </x:c>
      <x:c r="L2" s="59" t="n">
        <x:v>1</x:v>
      </x:c>
      <x:c r="M2" s="59" t="n">
        <x:v>1</x:v>
      </x:c>
      <x:c r="N2" s="59" t="n">
        <x:v>1</x:v>
      </x:c>
      <x:c r="O2" s="59" t="s"/>
      <x:c r="P2" s="59" t="n">
        <x:v>1</x:v>
      </x:c>
      <x:c r="Q2" s="59" t="n">
        <x:v>1</x:v>
      </x:c>
      <x:c r="R2" s="48" t="n">
        <x:v>0</x:v>
      </x:c>
      <x:c r="S2" s="49" t="n">
        <x:v>1</x:v>
      </x:c>
      <x:c r="T2" s="48" t="n">
        <x:v>0</x:v>
      </x:c>
      <x:c r="U2" s="48" t="n">
        <x:v>0</x:v>
      </x:c>
      <x:c r="V2" s="49" t="n">
        <x:v>1</x:v>
      </x:c>
      <x:c r="W2" s="49" t="n">
        <x:v>1</x:v>
      </x:c>
      <x:c r="X2" s="48" t="n">
        <x:v>0</x:v>
      </x:c>
      <x:c r="Y2" s="48" t="n">
        <x:v>0</x:v>
      </x:c>
      <x:c r="Z2" s="48" t="n">
        <x:v>0</x:v>
      </x:c>
      <x:c r="AA2" s="49" t="n">
        <x:v>1</x:v>
      </x:c>
      <x:c r="AB2" s="49" t="n">
        <x:v>1</x:v>
      </x:c>
      <x:c r="AC2" s="49" t="n">
        <x:v>1</x:v>
      </x:c>
      <x:c r="AD2" s="48" t="n">
        <x:v>0</x:v>
      </x:c>
      <x:c r="AE2" s="48" t="n">
        <x:v>0</x:v>
      </x:c>
      <x:c r="AF2" s="48" t="n">
        <x:v>0</x:v>
      </x:c>
      <x:c r="AG2" s="48" t="n">
        <x:v>0</x:v>
      </x:c>
      <x:c r="AH2" s="48" t="n">
        <x:v>0</x:v>
      </x:c>
      <x:c r="AI2" s="48" t="n">
        <x:v>0</x:v>
      </x:c>
      <x:c r="AJ2" s="48" t="n">
        <x:v>0</x:v>
      </x:c>
      <x:c r="AK2" s="48" t="n">
        <x:v>0</x:v>
      </x:c>
      <x:c r="AL2" s="48" t="n">
        <x:v>0</x:v>
      </x:c>
      <x:c r="AM2" s="59" t="n">
        <x:v>1</x:v>
      </x:c>
      <x:c r="AN2" s="59" t="n">
        <x:v>1</x:v>
      </x:c>
      <x:c r="AO2" s="59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K1"/>
  <x:sheetViews>
    <x:sheetView workbookViewId="0">
      <x:selection activeCell="C2" sqref="C2 C2:C2"/>
    </x:sheetView>
  </x:sheetViews>
  <x:sheetFormatPr defaultRowHeight="15" x14ac:dyDescent="0.25"/>
  <x:cols>
    <x:col min="1" max="1" width="20.5703125" style="43" customWidth="1"/>
    <x:col min="2" max="2" width="16.5703125" style="43" customWidth="1"/>
    <x:col min="3" max="3" width="17" style="43" customWidth="1"/>
    <x:col min="4" max="4" width="11.5703125" style="43" customWidth="1"/>
    <x:col min="5" max="5" width="0" style="53" hidden="1" customWidth="1"/>
    <x:col min="6" max="13" width="9.140625" style="43" customWidth="1"/>
    <x:col min="14" max="34" width="9.140625" style="53" customWidth="1"/>
  </x:cols>
  <x:sheetData>
    <x:row r="1" spans="1:37" s="54" customFormat="1" ht="144" customHeight="1" x14ac:dyDescent="0.25">
      <x:c r="A1" s="44" t="s">
        <x:v>0</x:v>
      </x:c>
      <x:c r="B1" s="44" t="s">
        <x:v>1</x:v>
      </x:c>
      <x:c r="C1" s="44" t="s">
        <x:v>2</x:v>
      </x:c>
      <x:c r="D1" s="44" t="s">
        <x:v>3</x:v>
      </x:c>
      <x:c r="E1" s="55" t="s">
        <x:v>65</x:v>
      </x:c>
      <x:c r="F1" s="56" t="s">
        <x:v>66</x:v>
      </x:c>
      <x:c r="G1" s="56" t="s">
        <x:v>19</x:v>
      </x:c>
      <x:c r="H1" s="56" t="s">
        <x:v>67</x:v>
      </x:c>
      <x:c r="I1" s="56" t="s">
        <x:v>68</x:v>
      </x:c>
      <x:c r="J1" s="56" t="s">
        <x:v>69</x:v>
      </x:c>
      <x:c r="K1" s="56" t="s">
        <x:v>70</x:v>
      </x:c>
      <x:c r="L1" s="56" t="s">
        <x:v>71</x:v>
      </x:c>
      <x:c r="M1" s="57" t="s">
        <x:v>72</x:v>
      </x:c>
      <x:c r="N1" s="58" t="s">
        <x:v>73</x:v>
      </x:c>
      <x:c r="O1" s="58" t="s">
        <x:v>74</x:v>
      </x:c>
      <x:c r="P1" s="58" t="s">
        <x:v>75</x:v>
      </x:c>
      <x:c r="Q1" s="58" t="s">
        <x:v>76</x:v>
      </x:c>
      <x:c r="R1" s="58" t="s">
        <x:v>77</x:v>
      </x:c>
      <x:c r="S1" s="58" t="s">
        <x:v>78</x:v>
      </x:c>
      <x:c r="T1" s="58" t="s">
        <x:v>79</x:v>
      </x:c>
      <x:c r="U1" s="58" t="s">
        <x:v>80</x:v>
      </x:c>
      <x:c r="V1" s="58" t="s">
        <x:v>81</x:v>
      </x:c>
      <x:c r="W1" s="58" t="s">
        <x:v>82</x:v>
      </x:c>
      <x:c r="X1" s="58" t="s">
        <x:v>83</x:v>
      </x:c>
      <x:c r="Y1" s="58" t="s">
        <x:v>84</x:v>
      </x:c>
      <x:c r="Z1" s="58" t="s">
        <x:v>85</x:v>
      </x:c>
      <x:c r="AA1" s="58" t="s">
        <x:v>86</x:v>
      </x:c>
      <x:c r="AB1" s="58" t="s">
        <x:v>87</x:v>
      </x:c>
      <x:c r="AC1" s="58" t="s">
        <x:v>43</x:v>
      </x:c>
      <x:c r="AD1" s="58" t="s">
        <x:v>44</x:v>
      </x:c>
      <x:c r="AE1" s="58" t="s">
        <x:v>45</x:v>
      </x:c>
      <x:c r="AF1" s="58" t="s">
        <x:v>46</x:v>
      </x:c>
      <x:c r="AG1" s="58" t="s">
        <x:v>47</x:v>
      </x:c>
      <x:c r="AH1" s="58" t="s">
        <x:v>48</x:v>
      </x:c>
      <x:c r="AI1" s="56" t="s">
        <x:v>51</x:v>
      </x:c>
      <x:c r="AJ1" s="56" t="s">
        <x:v>52</x:v>
      </x:c>
      <x:c r="AK1" s="56" t="s">
        <x:v>53</x:v>
      </x:c>
    </x:row>
    <x:row r="2" spans="1:37">
      <x:c r="A2" s="59" t="s">
        <x:v>54</x:v>
      </x:c>
      <x:c r="B2" s="59" t="s">
        <x:v>55</x:v>
      </x:c>
      <x:c r="C2" s="59" t="s">
        <x:v>56</x:v>
      </x:c>
      <x:c r="D2" s="59" t="s">
        <x:v>57</x:v>
      </x:c>
      <x:c r="E2" s="48" t="n">
        <x:v>0.307692307692308</x:v>
      </x:c>
      <x:c r="F2" s="59" t="n">
        <x:v>100</x:v>
      </x:c>
      <x:c r="G2" s="59" t="n">
        <x:v>1</x:v>
      </x:c>
      <x:c r="H2" s="59" t="n">
        <x:v>1</x:v>
      </x:c>
      <x:c r="I2" s="59" t="n">
        <x:v>1</x:v>
      </x:c>
      <x:c r="J2" s="59" t="n">
        <x:v>1</x:v>
      </x:c>
      <x:c r="K2" s="59" t="s"/>
      <x:c r="L2" s="59" t="n">
        <x:v>1</x:v>
      </x:c>
      <x:c r="M2" s="59" t="n">
        <x:v>1</x:v>
      </x:c>
      <x:c r="N2" s="48" t="n">
        <x:v>0</x:v>
      </x:c>
      <x:c r="O2" s="49" t="n">
        <x:v>1</x:v>
      </x:c>
      <x:c r="P2" s="48" t="n">
        <x:v>0</x:v>
      </x:c>
      <x:c r="Q2" s="48" t="n">
        <x:v>0</x:v>
      </x:c>
      <x:c r="R2" s="49" t="n">
        <x:v>1</x:v>
      </x:c>
      <x:c r="S2" s="49" t="n">
        <x:v>1</x:v>
      </x:c>
      <x:c r="T2" s="48" t="n">
        <x:v>0</x:v>
      </x:c>
      <x:c r="U2" s="48" t="n">
        <x:v>0</x:v>
      </x:c>
      <x:c r="V2" s="48" t="n">
        <x:v>0</x:v>
      </x:c>
      <x:c r="W2" s="49" t="n">
        <x:v>1</x:v>
      </x:c>
      <x:c r="X2" s="49" t="n">
        <x:v>1</x:v>
      </x:c>
      <x:c r="Y2" s="49" t="n">
        <x:v>1</x:v>
      </x:c>
      <x:c r="Z2" s="48" t="n">
        <x:v>0</x:v>
      </x:c>
      <x:c r="AA2" s="48" t="n">
        <x:v>0</x:v>
      </x:c>
      <x:c r="AB2" s="48" t="n">
        <x:v>0</x:v>
      </x:c>
      <x:c r="AC2" s="48" t="n">
        <x:v>0</x:v>
      </x:c>
      <x:c r="AD2" s="48" t="n">
        <x:v>0</x:v>
      </x:c>
      <x:c r="AE2" s="48" t="n">
        <x:v>0</x:v>
      </x:c>
      <x:c r="AF2" s="48" t="n">
        <x:v>0</x:v>
      </x:c>
      <x:c r="AG2" s="48" t="n">
        <x:v>0</x:v>
      </x:c>
      <x:c r="AH2" s="48" t="n">
        <x:v>0</x:v>
      </x:c>
      <x:c r="AI2" s="59" t="n">
        <x:v>1</x:v>
      </x:c>
      <x:c r="AJ2" s="59" t="n">
        <x:v>1</x:v>
      </x:c>
      <x:c r="AK2" s="59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I3"/>
  <x:sheetViews>
    <x:sheetView workbookViewId="0">
      <x:selection activeCell="B2" sqref="B2 B2:B2"/>
    </x:sheetView>
  </x:sheetViews>
  <x:sheetFormatPr defaultRowHeight="15" x14ac:dyDescent="0.25"/>
  <x:cols>
    <x:col min="1" max="1" width="11.85546875" style="43" customWidth="1"/>
    <x:col min="2" max="2" width="10.85546875" style="43" customWidth="1"/>
    <x:col min="3" max="3" width="0" style="53" hidden="1" customWidth="1"/>
    <x:col min="4" max="11" width="9.140625" style="43" customWidth="1"/>
    <x:col min="12" max="32" width="9.140625" style="53" customWidth="1"/>
    <x:col min="33" max="34" width="9.140625" style="43" customWidth="1"/>
    <x:col min="35" max="35" width="9.85546875" style="43" customWidth="1"/>
  </x:cols>
  <x:sheetData>
    <x:row r="1" spans="1:35" s="54" customFormat="1" ht="144" customHeight="1" x14ac:dyDescent="0.25">
      <x:c r="A1" s="44" t="s">
        <x:v>0</x:v>
      </x:c>
      <x:c r="B1" s="44" t="s">
        <x:v>1</x:v>
      </x:c>
      <x:c r="C1" s="55" t="s">
        <x:v>65</x:v>
      </x:c>
      <x:c r="D1" s="56" t="s">
        <x:v>66</x:v>
      </x:c>
      <x:c r="E1" s="56" t="s">
        <x:v>19</x:v>
      </x:c>
      <x:c r="F1" s="56" t="s">
        <x:v>67</x:v>
      </x:c>
      <x:c r="G1" s="56" t="s">
        <x:v>68</x:v>
      </x:c>
      <x:c r="H1" s="56" t="s">
        <x:v>69</x:v>
      </x:c>
      <x:c r="I1" s="56" t="s">
        <x:v>70</x:v>
      </x:c>
      <x:c r="J1" s="56" t="s">
        <x:v>71</x:v>
      </x:c>
      <x:c r="K1" s="57" t="s">
        <x:v>72</x:v>
      </x:c>
      <x:c r="L1" s="58" t="s">
        <x:v>73</x:v>
      </x:c>
      <x:c r="M1" s="58" t="s">
        <x:v>74</x:v>
      </x:c>
      <x:c r="N1" s="58" t="s">
        <x:v>75</x:v>
      </x:c>
      <x:c r="O1" s="58" t="s">
        <x:v>76</x:v>
      </x:c>
      <x:c r="P1" s="58" t="s">
        <x:v>77</x:v>
      </x:c>
      <x:c r="Q1" s="58" t="s">
        <x:v>78</x:v>
      </x:c>
      <x:c r="R1" s="58" t="s">
        <x:v>79</x:v>
      </x:c>
      <x:c r="S1" s="58" t="s">
        <x:v>80</x:v>
      </x:c>
      <x:c r="T1" s="58" t="s">
        <x:v>81</x:v>
      </x:c>
      <x:c r="U1" s="58" t="s">
        <x:v>82</x:v>
      </x:c>
      <x:c r="V1" s="58" t="s">
        <x:v>83</x:v>
      </x:c>
      <x:c r="W1" s="58" t="s">
        <x:v>84</x:v>
      </x:c>
      <x:c r="X1" s="58" t="s">
        <x:v>85</x:v>
      </x:c>
      <x:c r="Y1" s="58" t="s">
        <x:v>86</x:v>
      </x:c>
      <x:c r="Z1" s="58" t="s">
        <x:v>87</x:v>
      </x:c>
      <x:c r="AA1" s="58" t="s">
        <x:v>43</x:v>
      </x:c>
      <x:c r="AB1" s="58" t="s">
        <x:v>44</x:v>
      </x:c>
      <x:c r="AC1" s="58" t="s">
        <x:v>45</x:v>
      </x:c>
      <x:c r="AD1" s="58" t="s">
        <x:v>46</x:v>
      </x:c>
      <x:c r="AE1" s="58" t="s">
        <x:v>47</x:v>
      </x:c>
      <x:c r="AF1" s="58" t="s">
        <x:v>48</x:v>
      </x:c>
      <x:c r="AG1" s="56" t="s">
        <x:v>51</x:v>
      </x:c>
      <x:c r="AH1" s="56" t="s">
        <x:v>52</x:v>
      </x:c>
      <x:c r="AI1" s="56" t="s">
        <x:v>53</x:v>
      </x:c>
    </x:row>
    <x:row r="2" spans="1:35" x14ac:dyDescent="0.25">
      <x:c r="A2" s="59" t="s">
        <x:v>54</x:v>
      </x:c>
      <x:c r="B2" s="59" t="s">
        <x:v>55</x:v>
      </x:c>
      <x:c r="C2" s="48" t="n">
        <x:v>0.307692307692308</x:v>
      </x:c>
      <x:c r="D2" s="59" t="n">
        <x:v>100</x:v>
      </x:c>
      <x:c r="E2" s="59" t="n">
        <x:v>1</x:v>
      </x:c>
      <x:c r="F2" s="59" t="n">
        <x:v>1</x:v>
      </x:c>
      <x:c r="G2" s="59" t="n">
        <x:v>1</x:v>
      </x:c>
      <x:c r="H2" s="59" t="n">
        <x:v>1</x:v>
      </x:c>
      <x:c r="I2" s="59" t="s"/>
      <x:c r="J2" s="59" t="n">
        <x:v>1</x:v>
      </x:c>
      <x:c r="K2" s="59" t="n">
        <x:v>1</x:v>
      </x:c>
      <x:c r="L2" s="48" t="n">
        <x:v>0</x:v>
      </x:c>
      <x:c r="M2" s="49" t="n">
        <x:v>1</x:v>
      </x:c>
      <x:c r="N2" s="48" t="n">
        <x:v>0</x:v>
      </x:c>
      <x:c r="O2" s="48" t="n">
        <x:v>0</x:v>
      </x:c>
      <x:c r="P2" s="49" t="n">
        <x:v>1</x:v>
      </x:c>
      <x:c r="Q2" s="49" t="n">
        <x:v>1</x:v>
      </x:c>
      <x:c r="R2" s="48" t="n">
        <x:v>0</x:v>
      </x:c>
      <x:c r="S2" s="48" t="n">
        <x:v>0</x:v>
      </x:c>
      <x:c r="T2" s="48" t="n">
        <x:v>0</x:v>
      </x:c>
      <x:c r="U2" s="49" t="n">
        <x:v>1</x:v>
      </x:c>
      <x:c r="V2" s="49" t="n">
        <x:v>1</x:v>
      </x:c>
      <x:c r="W2" s="49" t="n">
        <x:v>1</x:v>
      </x:c>
      <x:c r="X2" s="48" t="n">
        <x:v>0</x:v>
      </x:c>
      <x:c r="Y2" s="48" t="n">
        <x:v>0</x:v>
      </x:c>
      <x:c r="Z2" s="48" t="n">
        <x:v>0</x:v>
      </x:c>
      <x:c r="AA2" s="48" t="n">
        <x:v>0</x:v>
      </x:c>
      <x:c r="AB2" s="48" t="n">
        <x:v>0</x:v>
      </x:c>
      <x:c r="AC2" s="48" t="n">
        <x:v>0</x:v>
      </x:c>
      <x:c r="AD2" s="48" t="n">
        <x:v>0</x:v>
      </x:c>
      <x:c r="AE2" s="48" t="n">
        <x:v>0</x:v>
      </x:c>
      <x:c r="AF2" s="48" t="n">
        <x:v>0</x:v>
      </x:c>
      <x:c r="AG2" s="59" t="n">
        <x:v>1</x:v>
      </x:c>
      <x:c r="AH2" s="59" t="n">
        <x:v>1</x:v>
      </x:c>
      <x:c r="AI2" s="47" t="n">
        <x:v>0</x:v>
      </x:c>
    </x:row>
    <x:row r="3" spans="1:35" x14ac:dyDescent="0.25">
      <x:c r="AI3" s="6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N3"/>
  <x:sheetViews>
    <x:sheetView workbookViewId="0">
      <x:selection activeCell="Q2" sqref="Q2 Q2:Q2"/>
    </x:sheetView>
  </x:sheetViews>
  <x:sheetFormatPr defaultRowHeight="15" x14ac:dyDescent="0.25"/>
  <x:sheetData>
    <x:row r="1" spans="1:40" s="54" customFormat="1" ht="96.75" customHeight="1" x14ac:dyDescent="0.25">
      <x:c r="A1" s="44" t="s">
        <x:v>0</x:v>
      </x:c>
      <x:c r="B1" s="44" t="s">
        <x:v>1</x:v>
      </x:c>
      <x:c r="C1" s="44" t="s">
        <x:v>2</x:v>
      </x:c>
      <x:c r="D1" s="44" t="s">
        <x:v>3</x:v>
      </x:c>
      <x:c r="E1" s="44" t="s">
        <x:v>4</x:v>
      </x:c>
      <x:c r="F1" s="44" t="s">
        <x:v>5</x:v>
      </x:c>
      <x:c r="G1" s="44" t="s">
        <x:v>6</x:v>
      </x:c>
      <x:c r="H1" s="44" t="s">
        <x:v>7</x:v>
      </x:c>
      <x:c r="I1" s="61" t="s">
        <x:v>65</x:v>
      </x:c>
      <x:c r="J1" s="56" t="s">
        <x:v>66</x:v>
      </x:c>
      <x:c r="K1" s="56" t="s">
        <x:v>19</x:v>
      </x:c>
      <x:c r="L1" s="56" t="s">
        <x:v>89</x:v>
      </x:c>
      <x:c r="M1" s="56" t="s">
        <x:v>69</x:v>
      </x:c>
      <x:c r="N1" s="56" t="s">
        <x:v>70</x:v>
      </x:c>
      <x:c r="O1" s="56" t="s">
        <x:v>71</x:v>
      </x:c>
      <x:c r="P1" s="58" t="s">
        <x:v>72</x:v>
      </x:c>
      <x:c r="Q1" s="58" t="s">
        <x:v>73</x:v>
      </x:c>
      <x:c r="R1" s="58" t="s">
        <x:v>74</x:v>
      </x:c>
      <x:c r="S1" s="58" t="s">
        <x:v>75</x:v>
      </x:c>
      <x:c r="T1" s="58" t="s">
        <x:v>76</x:v>
      </x:c>
      <x:c r="U1" s="56" t="s">
        <x:v>77</x:v>
      </x:c>
      <x:c r="V1" s="56" t="s">
        <x:v>78</x:v>
      </x:c>
      <x:c r="W1" s="56" t="s">
        <x:v>79</x:v>
      </x:c>
      <x:c r="X1" s="56" t="s">
        <x:v>80</x:v>
      </x:c>
      <x:c r="Y1" s="62" t="s">
        <x:v>81</x:v>
      </x:c>
      <x:c r="Z1" s="56" t="s">
        <x:v>82</x:v>
      </x:c>
      <x:c r="AA1" s="56" t="s">
        <x:v>83</x:v>
      </x:c>
      <x:c r="AB1" s="56" t="s">
        <x:v>84</x:v>
      </x:c>
      <x:c r="AC1" s="56" t="s">
        <x:v>85</x:v>
      </x:c>
      <x:c r="AD1" s="56" t="s">
        <x:v>86</x:v>
      </x:c>
      <x:c r="AE1" s="56" t="s">
        <x:v>87</x:v>
      </x:c>
      <x:c r="AF1" s="56" t="s">
        <x:v>43</x:v>
      </x:c>
      <x:c r="AG1" s="56" t="s">
        <x:v>44</x:v>
      </x:c>
      <x:c r="AH1" s="56" t="s">
        <x:v>45</x:v>
      </x:c>
      <x:c r="AI1" s="56" t="s">
        <x:v>46</x:v>
      </x:c>
      <x:c r="AJ1" s="56" t="s">
        <x:v>47</x:v>
      </x:c>
      <x:c r="AK1" s="56" t="s">
        <x:v>48</x:v>
      </x:c>
      <x:c r="AL1" s="56" t="s">
        <x:v>51</x:v>
      </x:c>
      <x:c r="AM1" s="56" t="s">
        <x:v>52</x:v>
      </x:c>
      <x:c r="AN1" s="56" t="s">
        <x:v>53</x:v>
      </x:c>
    </x:row>
    <x:row r="2" spans="1:40" s="68" customFormat="1" ht="180" customHeight="1" x14ac:dyDescent="0.25">
      <x:c r="A2" s="63" t="s"/>
      <x:c r="B2" s="63" t="s"/>
      <x:c r="C2" s="63" t="s"/>
      <x:c r="D2" s="63" t="s"/>
      <x:c r="E2" s="63" t="s"/>
      <x:c r="F2" s="63" t="s"/>
      <x:c r="G2" s="63" t="s"/>
      <x:c r="H2" s="63" t="s"/>
      <x:c r="I2" s="63" t="s">
        <x:v>90</x:v>
      </x:c>
      <x:c r="J2" s="63" t="s"/>
      <x:c r="K2" s="63" t="s"/>
      <x:c r="L2" s="63" t="s"/>
      <x:c r="M2" s="63" t="s"/>
      <x:c r="N2" s="63" t="s"/>
      <x:c r="O2" s="63" t="s"/>
      <x:c r="Q2" s="64" t="s">
        <x:v>91</x:v>
      </x:c>
      <x:c r="R2" s="63" t="s">
        <x:v>92</x:v>
      </x:c>
      <x:c r="S2" s="63" t="s">
        <x:v>92</x:v>
      </x:c>
      <x:c r="T2" s="63" t="s">
        <x:v>92</x:v>
      </x:c>
      <x:c r="U2" s="64" t="s">
        <x:v>93</x:v>
      </x:c>
      <x:c r="V2" s="63" t="s">
        <x:v>94</x:v>
      </x:c>
      <x:c r="W2" s="63" t="s">
        <x:v>95</x:v>
      </x:c>
      <x:c r="X2" s="64" t="s">
        <x:v>96</x:v>
      </x:c>
      <x:c r="Y2" s="64" t="s">
        <x:v>97</x:v>
      </x:c>
      <x:c r="Z2" s="64" t="s">
        <x:v>98</x:v>
      </x:c>
      <x:c r="AA2" s="64" t="s">
        <x:v>98</x:v>
      </x:c>
      <x:c r="AB2" s="64" t="s">
        <x:v>98</x:v>
      </x:c>
      <x:c r="AC2" s="64" t="s">
        <x:v>99</x:v>
      </x:c>
      <x:c r="AD2" s="64" t="s">
        <x:v>99</x:v>
      </x:c>
      <x:c r="AE2" s="64" t="s">
        <x:v>99</x:v>
      </x:c>
      <x:c r="AF2" s="63" t="s">
        <x:v>100</x:v>
      </x:c>
      <x:c r="AG2" s="63" t="s">
        <x:v>100</x:v>
      </x:c>
      <x:c r="AH2" s="63" t="s">
        <x:v>100</x:v>
      </x:c>
      <x:c r="AI2" s="64" t="s">
        <x:v>101</x:v>
      </x:c>
      <x:c r="AJ2" s="64" t="s">
        <x:v>101</x:v>
      </x:c>
      <x:c r="AK2" s="64" t="s">
        <x:v>101</x:v>
      </x:c>
      <x:c r="AL2" s="63" t="s">
        <x:v>102</x:v>
      </x:c>
      <x:c r="AM2" s="63" t="s">
        <x:v>103</x:v>
      </x:c>
      <x:c r="AN2" s="65" t="s">
        <x:v>104</x:v>
      </x:c>
    </x:row>
    <x:row r="3" spans="1:40" s="69" customFormat="1" ht="45.75" customHeight="1" x14ac:dyDescent="0.25">
      <x:c r="A3" s="66" t="s"/>
      <x:c r="B3" s="66" t="s"/>
      <x:c r="C3" s="66" t="s"/>
      <x:c r="D3" s="66" t="s"/>
      <x:c r="E3" s="66" t="s"/>
      <x:c r="F3" s="66" t="s"/>
      <x:c r="G3" s="66" t="s"/>
      <x:c r="H3" s="66" t="s"/>
      <x:c r="I3" s="66" t="s"/>
      <x:c r="J3" s="66" t="s"/>
      <x:c r="K3" s="66" t="s"/>
      <x:c r="L3" s="66" t="s"/>
      <x:c r="M3" s="66" t="s"/>
      <x:c r="N3" s="63" t="s"/>
      <x:c r="O3" s="63" t="s"/>
      <x:c r="P3" s="63" t="s"/>
      <x:c r="Q3" s="67" t="s">
        <x:v>105</x:v>
      </x:c>
      <x:c r="R3" s="67" t="s">
        <x:v>105</x:v>
      </x:c>
      <x:c r="S3" s="67" t="s">
        <x:v>105</x:v>
      </x:c>
      <x:c r="T3" s="67" t="s">
        <x:v>105</x:v>
      </x:c>
      <x:c r="U3" s="67" t="s">
        <x:v>105</x:v>
      </x:c>
      <x:c r="V3" s="67" t="s">
        <x:v>105</x:v>
      </x:c>
      <x:c r="W3" s="67" t="s">
        <x:v>105</x:v>
      </x:c>
      <x:c r="X3" s="67" t="s">
        <x:v>105</x:v>
      </x:c>
      <x:c r="Y3" s="67" t="s">
        <x:v>105</x:v>
      </x:c>
      <x:c r="Z3" s="67" t="s">
        <x:v>105</x:v>
      </x:c>
      <x:c r="AA3" s="67" t="s">
        <x:v>105</x:v>
      </x:c>
      <x:c r="AB3" s="67" t="s">
        <x:v>105</x:v>
      </x:c>
      <x:c r="AC3" s="67" t="s">
        <x:v>105</x:v>
      </x:c>
      <x:c r="AD3" s="67" t="s">
        <x:v>105</x:v>
      </x:c>
      <x:c r="AE3" s="67" t="s">
        <x:v>105</x:v>
      </x:c>
      <x:c r="AF3" s="67" t="s">
        <x:v>105</x:v>
      </x:c>
      <x:c r="AG3" s="67" t="s">
        <x:v>105</x:v>
      </x:c>
      <x:c r="AH3" s="67" t="s">
        <x:v>105</x:v>
      </x:c>
      <x:c r="AI3" s="67" t="s">
        <x:v>105</x:v>
      </x:c>
      <x:c r="AJ3" s="67" t="s">
        <x:v>105</x:v>
      </x:c>
      <x:c r="AK3" s="67" t="s">
        <x:v>105</x:v>
      </x:c>
      <x:c r="AL3" s="67" t="s"/>
      <x:c r="AM3" s="67" t="s"/>
      <x:c r="AN3" s="67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37"/>
  <x:sheetViews>
    <x:sheetView workbookViewId="0">
      <x:selection activeCell="B9" sqref="B9 B9:B9"/>
    </x:sheetView>
  </x:sheetViews>
  <x:sheetFormatPr defaultColWidth="9.140625" defaultRowHeight="15" x14ac:dyDescent="0.25"/>
  <x:cols>
    <x:col min="1" max="1" width="45.85546875" style="43" customWidth="1"/>
    <x:col min="2" max="2" width="56" style="43" customWidth="1"/>
    <x:col min="3" max="3" width="50.5703125" style="43" customWidth="1"/>
    <x:col min="4" max="16384" width="9.140625" style="43" customWidth="1"/>
  </x:cols>
  <x:sheetData>
    <x:row r="1" spans="1:3" x14ac:dyDescent="0.25">
      <x:c r="A1" s="70" t="s">
        <x:v>106</x:v>
      </x:c>
      <x:c r="B1" s="71" t="s">
        <x:v>107</x:v>
      </x:c>
      <x:c r="C1" s="72" t="s">
        <x:v>108</x:v>
      </x:c>
    </x:row>
    <x:row r="2" spans="1:3" x14ac:dyDescent="0.25">
      <x:c r="A2" s="73" t="s">
        <x:v>19</x:v>
      </x:c>
      <x:c r="B2" s="74" t="s">
        <x:v>109</x:v>
      </x:c>
      <x:c r="C2" s="63" t="s"/>
    </x:row>
    <x:row r="3" spans="1:3" customFormat="1" ht="30" customHeight="1" x14ac:dyDescent="0.25">
      <x:c r="A3" s="73" t="s">
        <x:v>20</x:v>
      </x:c>
      <x:c r="B3" s="74" t="s"/>
      <x:c r="C3" s="63" t="s">
        <x:v>110</x:v>
      </x:c>
    </x:row>
    <x:row r="4" spans="1:3" s="43" customFormat="1" ht="30" customHeight="1" x14ac:dyDescent="0.25">
      <x:c r="A4" s="73" t="s">
        <x:v>65</x:v>
      </x:c>
      <x:c r="B4" s="74" t="s"/>
      <x:c r="C4" s="63" t="s"/>
    </x:row>
    <x:row r="5" spans="1:3" x14ac:dyDescent="0.25">
      <x:c r="A5" s="73" t="s">
        <x:v>21</x:v>
      </x:c>
      <x:c r="B5" s="74" t="s">
        <x:v>111</x:v>
      </x:c>
      <x:c r="C5" s="75" t="s">
        <x:v>112</x:v>
      </x:c>
    </x:row>
    <x:row r="6" spans="1:3" x14ac:dyDescent="0.25">
      <x:c r="A6" s="73" t="s">
        <x:v>22</x:v>
      </x:c>
      <x:c r="B6" s="74" t="s">
        <x:v>113</x:v>
      </x:c>
      <x:c r="C6" s="75" t="s">
        <x:v>112</x:v>
      </x:c>
    </x:row>
    <x:row r="7" spans="1:3" x14ac:dyDescent="0.25">
      <x:c r="A7" s="73" t="s">
        <x:v>23</x:v>
      </x:c>
      <x:c r="B7" s="74" t="s">
        <x:v>114</x:v>
      </x:c>
      <x:c r="C7" s="75" t="s">
        <x:v>112</x:v>
      </x:c>
    </x:row>
    <x:row r="8" spans="1:3" customFormat="1" ht="45" customHeight="1" x14ac:dyDescent="0.25">
      <x:c r="A8" s="73" t="s">
        <x:v>24</x:v>
      </x:c>
      <x:c r="B8" s="74" t="s">
        <x:v>115</x:v>
      </x:c>
      <x:c r="C8" s="63" t="s">
        <x:v>116</x:v>
      </x:c>
    </x:row>
    <x:row r="9" spans="1:3" customFormat="1" ht="65.25" customHeight="1" x14ac:dyDescent="0.25">
      <x:c r="A9" s="73" t="s">
        <x:v>25</x:v>
      </x:c>
      <x:c r="B9" s="63" t="s">
        <x:v>117</x:v>
      </x:c>
      <x:c r="C9" s="63" t="s">
        <x:v>118</x:v>
      </x:c>
    </x:row>
    <x:row r="10" spans="1:3" customFormat="1" ht="45" customHeight="1" x14ac:dyDescent="0.25">
      <x:c r="A10" s="73" t="s">
        <x:v>26</x:v>
      </x:c>
      <x:c r="B10" s="63" t="s"/>
      <x:c r="C10" s="63" t="s">
        <x:v>118</x:v>
      </x:c>
    </x:row>
    <x:row r="11" spans="1:3" customFormat="1" ht="45" customHeight="1" x14ac:dyDescent="0.25">
      <x:c r="A11" s="73" t="s">
        <x:v>27</x:v>
      </x:c>
      <x:c r="B11" s="63" t="s"/>
      <x:c r="C11" s="63" t="s">
        <x:v>119</x:v>
      </x:c>
    </x:row>
    <x:row r="12" spans="1:3" customFormat="1" ht="45" customHeight="1" x14ac:dyDescent="0.25">
      <x:c r="A12" s="73" t="s">
        <x:v>28</x:v>
      </x:c>
      <x:c r="B12" s="73" t="s">
        <x:v>120</x:v>
      </x:c>
      <x:c r="C12" s="63" t="s">
        <x:v>121</x:v>
      </x:c>
    </x:row>
    <x:row r="13" spans="1:3" customFormat="1" ht="45" customHeight="1" x14ac:dyDescent="0.25">
      <x:c r="A13" s="73" t="s">
        <x:v>29</x:v>
      </x:c>
      <x:c r="B13" s="73" t="s">
        <x:v>122</x:v>
      </x:c>
      <x:c r="C13" s="63" t="s">
        <x:v>121</x:v>
      </x:c>
    </x:row>
    <x:row r="14" spans="1:3" customFormat="1" ht="45" customHeight="1" x14ac:dyDescent="0.25">
      <x:c r="A14" s="73" t="s">
        <x:v>30</x:v>
      </x:c>
      <x:c r="B14" s="74" t="s">
        <x:v>123</x:v>
      </x:c>
      <x:c r="C14" s="63" t="s">
        <x:v>124</x:v>
      </x:c>
    </x:row>
    <x:row r="15" spans="1:3" customFormat="1" ht="30" customHeight="1" x14ac:dyDescent="0.25">
      <x:c r="A15" s="73" t="s">
        <x:v>31</x:v>
      </x:c>
      <x:c r="B15" s="74" t="s">
        <x:v>125</x:v>
      </x:c>
      <x:c r="C15" s="63" t="s">
        <x:v>126</x:v>
      </x:c>
    </x:row>
    <x:row r="16" spans="1:3" customFormat="1" ht="45" customHeight="1" x14ac:dyDescent="0.25">
      <x:c r="A16" s="73" t="s">
        <x:v>32</x:v>
      </x:c>
      <x:c r="B16" s="63" t="s">
        <x:v>127</x:v>
      </x:c>
      <x:c r="C16" s="63" t="s">
        <x:v>128</x:v>
      </x:c>
    </x:row>
    <x:row r="17" spans="1:3" customFormat="1" ht="45" customHeight="1" x14ac:dyDescent="0.25">
      <x:c r="A17" s="73" t="s">
        <x:v>33</x:v>
      </x:c>
      <x:c r="B17" s="74" t="s">
        <x:v>129</x:v>
      </x:c>
      <x:c r="C17" s="63" t="s">
        <x:v>130</x:v>
      </x:c>
    </x:row>
    <x:row r="18" spans="1:3" customFormat="1" ht="45" customHeight="1" x14ac:dyDescent="0.25">
      <x:c r="A18" s="73" t="s">
        <x:v>34</x:v>
      </x:c>
      <x:c r="B18" s="74" t="s">
        <x:v>131</x:v>
      </x:c>
      <x:c r="C18" s="63" t="s">
        <x:v>116</x:v>
      </x:c>
    </x:row>
    <x:row r="19" spans="1:3" x14ac:dyDescent="0.25">
      <x:c r="A19" s="73" t="s">
        <x:v>35</x:v>
      </x:c>
      <x:c r="B19" s="74" t="s">
        <x:v>132</x:v>
      </x:c>
      <x:c r="C19" s="63" t="s"/>
    </x:row>
    <x:row r="20" spans="1:3" x14ac:dyDescent="0.25">
      <x:c r="A20" s="73" t="s">
        <x:v>36</x:v>
      </x:c>
      <x:c r="B20" s="74" t="s">
        <x:v>133</x:v>
      </x:c>
      <x:c r="C20" s="63" t="s">
        <x:v>134</x:v>
      </x:c>
    </x:row>
    <x:row r="21" spans="1:3" customFormat="1" ht="15" customHeight="1" x14ac:dyDescent="0.25">
      <x:c r="A21" s="73" t="s">
        <x:v>37</x:v>
      </x:c>
      <x:c r="B21" s="63" t="s">
        <x:v>135</x:v>
      </x:c>
      <x:c r="C21" s="63" t="s">
        <x:v>136</x:v>
      </x:c>
    </x:row>
    <x:row r="22" spans="1:3" x14ac:dyDescent="0.25">
      <x:c r="A22" s="73" t="s">
        <x:v>38</x:v>
      </x:c>
      <x:c r="B22" s="63" t="s"/>
      <x:c r="C22" s="63" t="s"/>
    </x:row>
    <x:row r="23" spans="1:3" x14ac:dyDescent="0.25">
      <x:c r="A23" s="73" t="s">
        <x:v>39</x:v>
      </x:c>
      <x:c r="B23" s="63" t="s"/>
      <x:c r="C23" s="63" t="s"/>
    </x:row>
    <x:row r="24" spans="1:3" x14ac:dyDescent="0.25">
      <x:c r="A24" s="73" t="s">
        <x:v>40</x:v>
      </x:c>
      <x:c r="B24" s="63" t="s"/>
      <x:c r="C24" s="63" t="s"/>
    </x:row>
    <x:row r="25" spans="1:3" x14ac:dyDescent="0.25">
      <x:c r="A25" s="73" t="s">
        <x:v>41</x:v>
      </x:c>
      <x:c r="B25" s="63" t="s"/>
      <x:c r="C25" s="63" t="s"/>
    </x:row>
    <x:row r="26" spans="1:3" x14ac:dyDescent="0.25">
      <x:c r="A26" s="73" t="s">
        <x:v>42</x:v>
      </x:c>
      <x:c r="B26" s="63" t="s"/>
      <x:c r="C26" s="63" t="s"/>
    </x:row>
    <x:row r="27" spans="1:3" customFormat="1" ht="15" customHeight="1" x14ac:dyDescent="0.25">
      <x:c r="A27" s="73" t="s">
        <x:v>137</x:v>
      </x:c>
      <x:c r="B27" s="63" t="s">
        <x:v>138</x:v>
      </x:c>
      <x:c r="C27" s="63" t="s">
        <x:v>139</x:v>
      </x:c>
    </x:row>
    <x:row r="28" spans="1:3" x14ac:dyDescent="0.25">
      <x:c r="A28" s="73" t="s">
        <x:v>140</x:v>
      </x:c>
      <x:c r="B28" s="63" t="s"/>
      <x:c r="C28" s="63" t="s"/>
    </x:row>
    <x:row r="29" spans="1:3" x14ac:dyDescent="0.25">
      <x:c r="A29" s="73" t="s">
        <x:v>141</x:v>
      </x:c>
      <x:c r="B29" s="63" t="s"/>
      <x:c r="C29" s="63" t="s"/>
    </x:row>
    <x:row r="30" spans="1:3" customFormat="1" ht="15" customHeight="1" x14ac:dyDescent="0.25">
      <x:c r="A30" s="73" t="s">
        <x:v>46</x:v>
      </x:c>
      <x:c r="B30" s="63" t="s">
        <x:v>142</x:v>
      </x:c>
      <x:c r="C30" s="63" t="s">
        <x:v>143</x:v>
      </x:c>
    </x:row>
    <x:row r="31" spans="1:3" x14ac:dyDescent="0.25">
      <x:c r="A31" s="73" t="s">
        <x:v>47</x:v>
      </x:c>
      <x:c r="B31" s="63" t="s"/>
      <x:c r="C31" s="63" t="s"/>
    </x:row>
    <x:row r="32" spans="1:3" x14ac:dyDescent="0.25">
      <x:c r="A32" s="73" t="s">
        <x:v>48</x:v>
      </x:c>
      <x:c r="B32" s="63" t="s"/>
      <x:c r="C32" s="63" t="s"/>
    </x:row>
    <x:row r="33" spans="1:3" x14ac:dyDescent="0.25">
      <x:c r="A33" s="73" t="s">
        <x:v>49</x:v>
      </x:c>
      <x:c r="B33" s="74" t="s">
        <x:v>49</x:v>
      </x:c>
      <x:c r="C33" s="63" t="s"/>
    </x:row>
    <x:row r="34" spans="1:3" x14ac:dyDescent="0.25">
      <x:c r="A34" s="73" t="s">
        <x:v>50</x:v>
      </x:c>
      <x:c r="B34" s="74" t="s">
        <x:v>50</x:v>
      </x:c>
      <x:c r="C34" s="63" t="s"/>
    </x:row>
    <x:row r="35" spans="1:3" customFormat="1" ht="45" customHeight="1" x14ac:dyDescent="0.25">
      <x:c r="A35" s="71" t="s">
        <x:v>144</x:v>
      </x:c>
      <x:c r="B35" s="74" t="s">
        <x:v>144</x:v>
      </x:c>
      <x:c r="C35" s="63" t="s">
        <x:v>145</x:v>
      </x:c>
    </x:row>
    <x:row r="36" spans="1:3" customFormat="1" ht="45" customHeight="1" x14ac:dyDescent="0.25">
      <x:c r="A36" s="71" t="s">
        <x:v>146</x:v>
      </x:c>
      <x:c r="B36" s="74" t="s">
        <x:v>146</x:v>
      </x:c>
      <x:c r="C36" s="63" t="s">
        <x:v>147</x:v>
      </x:c>
    </x:row>
    <x:row r="37" spans="1:3" x14ac:dyDescent="0.25">
      <x:c r="A37" s="71" t="s">
        <x:v>53</x:v>
      </x:c>
      <x:c r="B37" s="47" t="s">
        <x:v>104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W7"/>
  <x:sheetViews>
    <x:sheetView topLeftCell="K1" workbookViewId="0">
      <x:selection activeCell="R2" sqref="R2 R2:R2"/>
    </x:sheetView>
  </x:sheetViews>
  <x:sheetFormatPr defaultRowHeight="15" x14ac:dyDescent="0.25"/>
  <x:cols>
    <x:col min="1" max="10" width="9.140625" style="43" customWidth="1"/>
    <x:col min="11" max="11" width="18" style="43" bestFit="1" customWidth="1"/>
    <x:col min="12" max="12" width="17" style="43" customWidth="1"/>
    <x:col min="13" max="13" width="17.140625" style="43" customWidth="1"/>
    <x:col min="14" max="14" width="19.5703125" style="43" customWidth="1"/>
    <x:col min="15" max="18" width="17" style="43" customWidth="1"/>
    <x:col min="19" max="19" width="15.7109375" style="43" customWidth="1"/>
    <x:col min="20" max="20" width="14.7109375" style="43" customWidth="1"/>
    <x:col min="21" max="21" width="12.5703125" style="43" customWidth="1"/>
    <x:col min="22" max="22" width="19" style="43" customWidth="1"/>
    <x:col min="23" max="23" width="21.85546875" style="43" customWidth="1"/>
  </x:cols>
  <x:sheetData>
    <x:row r="1" spans="1:23" x14ac:dyDescent="0.25">
      <x:c r="K1" s="76" t="s">
        <x:v>148</x:v>
      </x:c>
      <x:c r="L1" s="77" t="s"/>
      <x:c r="M1" s="78" t="s">
        <x:v>149</x:v>
      </x:c>
      <x:c r="N1" s="78" t="s"/>
      <x:c r="O1" s="78" t="s"/>
      <x:c r="P1" s="79" t="s"/>
      <x:c r="Q1" s="79" t="s"/>
      <x:c r="R1" s="79" t="s"/>
      <x:c r="S1" s="43" t="s">
        <x:v>150</x:v>
      </x:c>
    </x:row>
    <x:row r="2" spans="1:23" customFormat="1" ht="45" customHeight="1" x14ac:dyDescent="0.25">
      <x:c r="A2" s="80" t="s">
        <x:v>0</x:v>
      </x:c>
      <x:c r="B2" s="80" t="s">
        <x:v>1</x:v>
      </x:c>
      <x:c r="C2" s="80" t="s">
        <x:v>2</x:v>
      </x:c>
      <x:c r="D2" s="80" t="s">
        <x:v>3</x:v>
      </x:c>
      <x:c r="E2" s="80" t="s">
        <x:v>4</x:v>
      </x:c>
      <x:c r="F2" s="80" t="s">
        <x:v>5</x:v>
      </x:c>
      <x:c r="G2" s="80" t="s">
        <x:v>6</x:v>
      </x:c>
      <x:c r="H2" s="80" t="s">
        <x:v>7</x:v>
      </x:c>
      <x:c r="I2" s="80" t="s">
        <x:v>8</x:v>
      </x:c>
      <x:c r="J2" s="80" t="s">
        <x:v>9</x:v>
      </x:c>
      <x:c r="K2" s="80" t="s">
        <x:v>151</x:v>
      </x:c>
      <x:c r="L2" s="80" t="s">
        <x:v>152</x:v>
      </x:c>
      <x:c r="M2" s="80" t="s">
        <x:v>153</x:v>
      </x:c>
      <x:c r="N2" s="80" t="s">
        <x:v>154</x:v>
      </x:c>
      <x:c r="O2" s="81" t="s">
        <x:v>155</x:v>
      </x:c>
      <x:c r="P2" s="80" t="s">
        <x:v>156</x:v>
      </x:c>
      <x:c r="Q2" s="80" t="s">
        <x:v>157</x:v>
      </x:c>
      <x:c r="R2" s="82" t="s"/>
      <x:c r="S2" s="80" t="s">
        <x:v>158</x:v>
      </x:c>
      <x:c r="T2" s="80" t="s">
        <x:v>159</x:v>
      </x:c>
      <x:c r="U2" s="80" t="s">
        <x:v>160</x:v>
      </x:c>
      <x:c r="V2" s="80" t="s">
        <x:v>161</x:v>
      </x:c>
      <x:c r="W2" s="80" t="s">
        <x:v>162</x:v>
      </x:c>
    </x:row>
    <x:row r="3" spans="1:23" x14ac:dyDescent="0.25">
      <x:c r="N3" s="43" t="s">
        <x:v>163</x:v>
      </x:c>
    </x:row>
    <x:row r="5" spans="1:23" x14ac:dyDescent="0.25">
      <x:c r="V5" s="43" t="s">
        <x:v>164</x:v>
      </x:c>
    </x:row>
    <x:row r="7" spans="1:23" x14ac:dyDescent="0.25">
      <x:c r="W7" s="43">
        <x:f>38/40</x:f>
      </x:c>
    </x:row>
  </x:sheetData>
  <x:mergeCells count="2">
    <x:mergeCell ref="K1:L1"/>
    <x:mergeCell ref="M1:O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6"/>
  <x:sheetViews>
    <x:sheetView workbookViewId="0">
      <x:selection activeCell="B4" sqref="B4 B4:B4"/>
    </x:sheetView>
  </x:sheetViews>
  <x:sheetFormatPr defaultRowHeight="15" x14ac:dyDescent="0.25"/>
  <x:sheetData>
    <x:row r="1" spans="1:6" x14ac:dyDescent="0.25">
      <x:c r="B1" s="43" t="s">
        <x:v>165</x:v>
      </x:c>
      <x:c r="C1" s="43" t="s">
        <x:v>166</x:v>
      </x:c>
    </x:row>
    <x:row r="2" spans="1:6" x14ac:dyDescent="0.25">
      <x:c r="A2" s="43" t="s">
        <x:v>167</x:v>
      </x:c>
      <x:c r="B2" s="43" t="s">
        <x:v>168</x:v>
      </x:c>
      <x:c r="C2" s="43" t="s">
        <x:v>168</x:v>
      </x:c>
      <x:c r="D2" s="43" t="b">
        <x:f>B2=C2</x:f>
      </x:c>
      <x:c r="E2" s="43">
        <x:f>COUNTIF(D2:D16,"True")</x:f>
      </x:c>
      <x:c r="F2" s="43">
        <x:f>E2/COUNTA(D2:D16)*100</x:f>
      </x:c>
    </x:row>
    <x:row r="3" spans="1:6" x14ac:dyDescent="0.25">
      <x:c r="A3" s="43" t="s">
        <x:v>169</x:v>
      </x:c>
      <x:c r="B3" s="43" t="s">
        <x:v>168</x:v>
      </x:c>
      <x:c r="C3" s="43" t="s">
        <x:v>168</x:v>
      </x:c>
      <x:c r="D3" s="43" t="b">
        <x:f>B3=C3</x:f>
      </x:c>
    </x:row>
    <x:row r="4" spans="1:6" x14ac:dyDescent="0.25">
      <x:c r="A4" s="43" t="s">
        <x:v>170</x:v>
      </x:c>
      <x:c r="B4" s="43" t="s">
        <x:v>168</x:v>
      </x:c>
      <x:c r="C4" s="43" t="s">
        <x:v>168</x:v>
      </x:c>
      <x:c r="D4" s="43" t="b">
        <x:f>B4=C4</x:f>
      </x:c>
    </x:row>
    <x:row r="5" spans="1:6" x14ac:dyDescent="0.25">
      <x:c r="A5" s="43" t="s">
        <x:v>171</x:v>
      </x:c>
      <x:c r="B5" s="43" t="s">
        <x:v>168</x:v>
      </x:c>
      <x:c r="C5" s="43" t="s">
        <x:v>168</x:v>
      </x:c>
      <x:c r="D5" s="43" t="b">
        <x:f>B5=C5</x:f>
      </x:c>
    </x:row>
    <x:row r="6" spans="1:6" x14ac:dyDescent="0.25">
      <x:c r="A6" s="43" t="s">
        <x:v>172</x:v>
      </x:c>
      <x:c r="B6" s="43" t="s">
        <x:v>168</x:v>
      </x:c>
      <x:c r="C6" s="43" t="s">
        <x:v>168</x:v>
      </x:c>
      <x:c r="D6" s="43" t="b">
        <x:f>B6=C6</x:f>
      </x:c>
    </x:row>
    <x:row r="7" spans="1:6" x14ac:dyDescent="0.25">
      <x:c r="A7" s="43" t="s">
        <x:v>173</x:v>
      </x:c>
      <x:c r="B7" s="43" t="s">
        <x:v>168</x:v>
      </x:c>
      <x:c r="C7" s="43" t="s">
        <x:v>168</x:v>
      </x:c>
      <x:c r="D7" s="43" t="b">
        <x:f>B7=C7</x:f>
      </x:c>
    </x:row>
    <x:row r="8" spans="1:6" x14ac:dyDescent="0.25">
      <x:c r="A8" s="43" t="s">
        <x:v>174</x:v>
      </x:c>
      <x:c r="B8" s="43" t="s">
        <x:v>168</x:v>
      </x:c>
      <x:c r="C8" s="43" t="s">
        <x:v>168</x:v>
      </x:c>
      <x:c r="D8" s="43" t="b">
        <x:f>B8=C8</x:f>
      </x:c>
    </x:row>
    <x:row r="9" spans="1:6" x14ac:dyDescent="0.25">
      <x:c r="A9" s="43" t="s">
        <x:v>175</x:v>
      </x:c>
      <x:c r="B9" s="43" t="s">
        <x:v>168</x:v>
      </x:c>
      <x:c r="C9" s="43" t="s">
        <x:v>168</x:v>
      </x:c>
      <x:c r="D9" s="43" t="b">
        <x:f>B9=C9</x:f>
      </x:c>
    </x:row>
    <x:row r="10" spans="1:6" x14ac:dyDescent="0.25">
      <x:c r="A10" s="43" t="s">
        <x:v>176</x:v>
      </x:c>
      <x:c r="B10" s="43" t="s">
        <x:v>168</x:v>
      </x:c>
      <x:c r="C10" s="43" t="s">
        <x:v>168</x:v>
      </x:c>
      <x:c r="D10" s="43" t="b">
        <x:f>B10=C10</x:f>
      </x:c>
    </x:row>
    <x:row r="11" spans="1:6" x14ac:dyDescent="0.25">
      <x:c r="A11" s="43" t="s">
        <x:v>177</x:v>
      </x:c>
      <x:c r="B11" s="43" t="s">
        <x:v>168</x:v>
      </x:c>
      <x:c r="C11" s="43" t="s">
        <x:v>168</x:v>
      </x:c>
      <x:c r="D11" s="43" t="b">
        <x:f>B11=C11</x:f>
      </x:c>
    </x:row>
    <x:row r="12" spans="1:6" x14ac:dyDescent="0.25">
      <x:c r="A12" s="43" t="s">
        <x:v>178</x:v>
      </x:c>
      <x:c r="B12" s="43" t="s">
        <x:v>168</x:v>
      </x:c>
      <x:c r="C12" s="43" t="s">
        <x:v>168</x:v>
      </x:c>
      <x:c r="D12" s="43" t="b">
        <x:f>B12=C12</x:f>
      </x:c>
    </x:row>
    <x:row r="13" spans="1:6" x14ac:dyDescent="0.25">
      <x:c r="A13" s="43" t="s">
        <x:v>179</x:v>
      </x:c>
      <x:c r="B13" s="43" t="s">
        <x:v>180</x:v>
      </x:c>
      <x:c r="C13" s="43" t="s">
        <x:v>180</x:v>
      </x:c>
      <x:c r="D13" s="43" t="b">
        <x:f>B13=C13</x:f>
      </x:c>
    </x:row>
    <x:row r="14" spans="1:6" x14ac:dyDescent="0.25">
      <x:c r="A14" s="43" t="s">
        <x:v>181</x:v>
      </x:c>
      <x:c r="B14" s="43" t="s">
        <x:v>168</x:v>
      </x:c>
      <x:c r="C14" s="43" t="s">
        <x:v>168</x:v>
      </x:c>
      <x:c r="D14" s="43" t="b">
        <x:f>B14=C14</x:f>
      </x:c>
    </x:row>
    <x:row r="15" spans="1:6" x14ac:dyDescent="0.25">
      <x:c r="A15" s="43" t="s">
        <x:v>182</x:v>
      </x:c>
      <x:c r="B15" s="43" t="s">
        <x:v>183</x:v>
      </x:c>
      <x:c r="C15" s="43" t="s">
        <x:v>168</x:v>
      </x:c>
      <x:c r="D15" s="43" t="b">
        <x:f>B15=C15</x:f>
      </x:c>
    </x:row>
    <x:row r="16" spans="1:6" x14ac:dyDescent="0.25">
      <x:c r="A16" s="43" t="s">
        <x:v>184</x:v>
      </x:c>
      <x:c r="B16" s="43" t="s">
        <x:v>185</x:v>
      </x:c>
      <x:c r="C16" s="43" t="s">
        <x:v>168</x:v>
      </x:c>
      <x:c r="D16" s="43" t="b">
        <x:f>B16=C16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ap:HeadingPairs>
  <ap:TitlesOfParts>
    <vt:vector baseType="lpstr" size="30">
      <vt:lpstr>School </vt:lpstr>
      <vt:lpstr>Block </vt:lpstr>
      <vt:lpstr>District </vt:lpstr>
      <vt:lpstr>State </vt:lpstr>
      <vt:lpstr>Summary Reference</vt:lpstr>
      <vt:lpstr>School Reference</vt:lpstr>
      <vt:lpstr>Block</vt:lpstr>
      <vt:lpstr>District</vt:lpstr>
      <vt:lpstr>State</vt:lpstr>
      <vt:lpstr>Same Grade</vt:lpstr>
      <vt:lpstr>School !Print_Area</vt:lpstr>
      <vt:lpstr>School !Print_Titles</vt:lpstr>
      <vt:lpstr>Block !Print_Area</vt:lpstr>
      <vt:lpstr>Block !Print_Titles</vt:lpstr>
      <vt:lpstr>District !Print_Area</vt:lpstr>
      <vt:lpstr>District !Print_Titles</vt:lpstr>
      <vt:lpstr>State !Print_Area</vt:lpstr>
      <vt:lpstr>State !Print_Titles</vt:lpstr>
      <vt:lpstr>Summary Reference!Print_Area</vt:lpstr>
      <vt:lpstr>Summary Reference!Print_Titles</vt:lpstr>
      <vt:lpstr>School Reference!Print_Area</vt:lpstr>
      <vt:lpstr>School Reference!Print_Titles</vt:lpstr>
      <vt:lpstr>Block!Print_Area</vt:lpstr>
      <vt:lpstr>Block!Print_Titles</vt:lpstr>
      <vt:lpstr>District!Print_Area</vt:lpstr>
      <vt:lpstr>District!Print_Titles</vt:lpstr>
      <vt:lpstr>State!Print_Area</vt:lpstr>
      <vt:lpstr>State!Print_Titles</vt:lpstr>
      <vt:lpstr>Same Grade!Print_Area</vt:lpstr>
      <vt:lpstr>Same Grade!Print_Titles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2022-09-16T08:24:35.0000000Z</dcterms:created>
  <dcterms:modified xsi:type="dcterms:W3CDTF">2024-07-23T07:22:38.1504720Z</dcterms:modified>
</coreProperties>
</file>