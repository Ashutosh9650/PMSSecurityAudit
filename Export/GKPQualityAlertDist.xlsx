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bookViews>
    <workbookView xWindow="0" yWindow="0" windowWidth="20430" windowHeight="6915"/>
  </bookViews>
  <sheets>
    <sheet name="School " sheetId="1" r:id="rId1"/>
    <sheet name="Block " sheetId="7" r:id="rId2"/>
    <sheet name="District " sheetId="8" r:id="rId3"/>
    <sheet name="State " sheetId="9" r:id="rId4"/>
    <sheet name="Summary Reference" sheetId="10" r:id="rId5"/>
    <sheet name="School Reference" sheetId="3" r:id="rId6"/>
    <sheet name="Block" sheetId="4" state="hidden" r:id="rId7"/>
    <sheet name="District" sheetId="5" state="hidden" r:id="rId8"/>
    <sheet name="State" sheetId="6" state="hidden" r:id="rId9"/>
    <sheet name="Same Grade" sheetId="2" state="hidden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7" i="4" l="1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E2" i="2"/>
  <c r="F2" i="2" s="1"/>
  <c r="D2" i="2"/>
</calcChain>
</file>

<file path=xl/sharedStrings.xml><?xml version="1.0" encoding="utf-8"?>
<sst xmlns="http://schemas.openxmlformats.org/spreadsheetml/2006/main" count="420" uniqueCount="176">
  <si>
    <t>State Name</t>
  </si>
  <si>
    <t>State Code</t>
  </si>
  <si>
    <t>District Name</t>
  </si>
  <si>
    <t>District Code</t>
  </si>
  <si>
    <t>Admin District Name</t>
  </si>
  <si>
    <t>Admin District Code</t>
  </si>
  <si>
    <t>Block Name</t>
  </si>
  <si>
    <t>Block Code</t>
  </si>
  <si>
    <t>Main Block Name</t>
  </si>
  <si>
    <t>Main Block Code</t>
  </si>
  <si>
    <t>Cluster Name</t>
  </si>
  <si>
    <t>Cluster Code</t>
  </si>
  <si>
    <t>Panchayat Name</t>
  </si>
  <si>
    <t>Panchayat Code</t>
  </si>
  <si>
    <t>Village Name</t>
  </si>
  <si>
    <t>Village code</t>
  </si>
  <si>
    <t>School Name</t>
  </si>
  <si>
    <t>Dise Code</t>
  </si>
  <si>
    <t>%Children Present in Baseline</t>
  </si>
  <si>
    <t>%BL-EL Attrition</t>
  </si>
  <si>
    <t># Session Conducted by FC</t>
  </si>
  <si>
    <t># Session Conducted by TB</t>
  </si>
  <si>
    <t>Average # Children Cover in BL per Day</t>
  </si>
  <si>
    <t>Average # Children Cover in EL per Day</t>
  </si>
  <si>
    <t>#Children present in BL but not present in EL/#children present in BL</t>
  </si>
  <si>
    <t>BL</t>
  </si>
  <si>
    <t>EL</t>
  </si>
  <si>
    <t>C1</t>
  </si>
  <si>
    <t>A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</si>
  <si>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</si>
  <si>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</si>
  <si>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</si>
  <si>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</si>
  <si>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</si>
  <si>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</si>
  <si>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</si>
  <si>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</si>
  <si>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</si>
  <si>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</si>
  <si>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</si>
  <si>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</t>
  </si>
  <si>
    <t>C13</t>
  </si>
  <si>
    <t>C14</t>
  </si>
  <si>
    <t>B</t>
  </si>
  <si>
    <t>C15</t>
  </si>
  <si>
    <t>C</t>
  </si>
  <si>
    <t>Total Children Registered</t>
  </si>
  <si>
    <t>Registration</t>
  </si>
  <si>
    <t>%Schools with Low Registration</t>
  </si>
  <si>
    <t>%Schools with High Registration</t>
  </si>
  <si>
    <t>%School With Low Baseline</t>
  </si>
  <si>
    <t>%School With Low Baseline &amp;Endline</t>
  </si>
  <si>
    <t>Take common children present in baseline and endline for calculation/ Total registered children</t>
  </si>
  <si>
    <t>Assessment</t>
  </si>
  <si>
    <t>% Children Coming in A&amp;B Grade- Hindi BL</t>
  </si>
  <si>
    <t>% Children Coming in A&amp;B Grade- Math BL</t>
  </si>
  <si>
    <t>% Children Coming in A&amp;B Grade- English BL</t>
  </si>
  <si>
    <t>%Schools - 80% Children in Same Grade</t>
  </si>
  <si>
    <t>%Schools with Low Regularity</t>
  </si>
  <si>
    <t>%Schools with High Regularity</t>
  </si>
  <si>
    <t>GKP Sessions</t>
  </si>
  <si>
    <t>#Idle Schools</t>
  </si>
  <si>
    <t>Idle GKP Status</t>
  </si>
  <si>
    <t>%Schools with Low Avg Attendance</t>
  </si>
  <si>
    <t>%Schools with &gt;95% Avg Attendance</t>
  </si>
  <si>
    <t>Low is Below 50%</t>
  </si>
  <si>
    <t>%Schools with High BL-EL Attrition</t>
  </si>
  <si>
    <t>%Schools with Low BL-EL Attrition</t>
  </si>
  <si>
    <t>#Children Attending less than 50% Session</t>
  </si>
  <si>
    <t>%Children Same Grade -BL Hindi</t>
  </si>
  <si>
    <t>%Children Same Grade -BL Math</t>
  </si>
  <si>
    <t>%Children Same Grade -BL English</t>
  </si>
  <si>
    <t>%Children Same Grade -EL Hindi</t>
  </si>
  <si>
    <t>%Children Same Grade -EL Math</t>
  </si>
  <si>
    <t>%Children Same Grade -EL English</t>
  </si>
  <si>
    <t>Children with same grade in BL&amp;EL/common present children in BL&amp;EL</t>
  </si>
  <si>
    <t>%BL- EL Math Same Grade  - Hindi</t>
  </si>
  <si>
    <t>%BL- EL Math Same Grade - Math</t>
  </si>
  <si>
    <t>%BL- EL Math Same Grade - English</t>
  </si>
  <si>
    <t>%BL-EL Grade Loss - Hindi</t>
  </si>
  <si>
    <t>%BL-EL Grade Loss - Math</t>
  </si>
  <si>
    <t>%BL-EL Grade Loss - English</t>
  </si>
  <si>
    <t>Children with grade loss in BL&amp;EL/common present children in BL&amp;EL</t>
  </si>
  <si>
    <t>%Class 3</t>
  </si>
  <si>
    <t>%Class 4</t>
  </si>
  <si>
    <t>%Class 5</t>
  </si>
  <si>
    <t>Quality Indicators</t>
  </si>
  <si>
    <t>From Registration</t>
  </si>
  <si>
    <t>Criteria</t>
  </si>
  <si>
    <t>Definitions</t>
  </si>
  <si>
    <t>% of Class-3/Total Registered</t>
  </si>
  <si>
    <t>% of Class-4/Total Registered</t>
  </si>
  <si>
    <t>% of Class-5/Total Registered</t>
  </si>
  <si>
    <t>Children Present in Baseline /Total Registered Children</t>
  </si>
  <si>
    <t>If no sessions Conducted in last 7 days</t>
  </si>
  <si>
    <t># FC not Trained on GKP-L0</t>
  </si>
  <si>
    <t># TB not Trained on GKP L0</t>
  </si>
  <si>
    <t># FC not Trained on GKP-L1</t>
  </si>
  <si>
    <t># TB not Trained on GKP L1</t>
  </si>
  <si>
    <t>High Registration:  greater than=80
Low Registration: less than =20</t>
  </si>
  <si>
    <t>R: below 80%
A: 80% to 90%
G: above 90%</t>
  </si>
  <si>
    <t>%Children Absent in Last 3 session</t>
  </si>
  <si>
    <t>Registration Status</t>
  </si>
  <si>
    <t>#Children Present in Baselien/Baseline completion days</t>
  </si>
  <si>
    <t>#Children Present in EL/EL completion days</t>
  </si>
  <si>
    <t>Sum of Present children in all conducted sessions /(Total Registered children * Sessions Conducted)</t>
  </si>
  <si>
    <t>%Beneficiary in at least 1 Session</t>
  </si>
  <si>
    <t>#children present at least 1 session/registered children</t>
  </si>
  <si>
    <t>#Children Absent in Last 3 session/registered children</t>
  </si>
  <si>
    <t>Grade %=count of highest grade /no. of children present in Baseline*100</t>
  </si>
  <si>
    <t>%Average Attendance per Session</t>
  </si>
  <si>
    <t>FC Not Trained on GKP-L0</t>
  </si>
  <si>
    <t>TB Not Trained on GKP L0</t>
  </si>
  <si>
    <t>R:&gt;=1
A:
G:</t>
  </si>
  <si>
    <t>R: &gt;=1
A:
G:</t>
  </si>
  <si>
    <t># of sessions conducted</t>
  </si>
  <si>
    <t>R: Greater than 30%
A: 20 to 30%
G: up to 20%</t>
  </si>
  <si>
    <t>R: Greater than 20%
A: 11% to 20%
G: up to 10%</t>
  </si>
  <si>
    <t>R: Greater than 50
A: 35 to 50
G: below 35</t>
  </si>
  <si>
    <t>Sessions Regularity</t>
  </si>
  <si>
    <t>if first conducted session date is greater then 7 then formula will be:
#Sessions conducted/(Days from Session1/7)</t>
  </si>
  <si>
    <t>High - &gt;8
Good - 6-8
Low - below 6</t>
  </si>
  <si>
    <t>R: days since last session greater than =7 then Idle else Not Idle</t>
  </si>
  <si>
    <t>R: =100% and less than 30%
A: 31% to 70%
G:greater than 70% to 99%</t>
  </si>
  <si>
    <t>R: above 20%
A: 11% to 20%
G: less than =10%</t>
  </si>
  <si>
    <t>R: if greater than 60%</t>
  </si>
  <si>
    <t xml:space="preserve">R: greater than 80%
</t>
  </si>
  <si>
    <t>R: greater than 30%
A:10% to 30%</t>
  </si>
  <si>
    <t>R: greater than 20%
A: 5% to 20%</t>
  </si>
  <si>
    <t>% Red Indicators</t>
  </si>
  <si>
    <t>%BL- EL  Same Grade  - Hindi</t>
  </si>
  <si>
    <t>%BL- EL  Same Grade - Math</t>
  </si>
  <si>
    <t>%BL- EL  Same Grade - English</t>
  </si>
  <si>
    <t>R: 100%</t>
  </si>
  <si>
    <t># of GKP Schools</t>
  </si>
  <si>
    <t># of schools with baseline</t>
  </si>
  <si>
    <t># of schools with main sessions</t>
  </si>
  <si>
    <t>#Schools with High Registration Alert</t>
  </si>
  <si>
    <t>Schools with 100% students in same class</t>
  </si>
  <si>
    <t xml:space="preserve">% Schools with Low Baseline </t>
  </si>
  <si>
    <t>% Schools with  Children  in A&amp;B Grade- Hindi BL</t>
  </si>
  <si>
    <t>% Schools with  Children  in A&amp;B Grade- Math BL</t>
  </si>
  <si>
    <t>% Schools with  Children  in A&amp;B Grade- English BL</t>
  </si>
  <si>
    <t>% Schools with Low/High Sessions Regularity</t>
  </si>
  <si>
    <t>% Schools with Idle GKP Status</t>
  </si>
  <si>
    <t>%Schools with Attendance alert</t>
  </si>
  <si>
    <t>%Schools with BL-EL Attrition</t>
  </si>
  <si>
    <t>% Schools with &lt;80% children Attending &lt;50% Sessions</t>
  </si>
  <si>
    <t>%Schools with Same Grade -BL Hindi</t>
  </si>
  <si>
    <t>%Schools Same Grade -BL Math</t>
  </si>
  <si>
    <t>%Schools Same Grade -BL English</t>
  </si>
  <si>
    <t>%Schools Same Grade -EL Hindi</t>
  </si>
  <si>
    <t>%Schools Same Grade -EL Math</t>
  </si>
  <si>
    <t>%Schools Same Grade -EL English</t>
  </si>
  <si>
    <t>red/13</t>
  </si>
  <si>
    <t>Schools with below 90% Baseline/Total schools with baseline Started</t>
  </si>
  <si>
    <t>Schools with &gt;1 FC not trained</t>
  </si>
  <si>
    <t>Schools with &gt;1 TB not trained</t>
  </si>
  <si>
    <t>R: &gt;50% 
A: &gt;30% to 50%
G: &lt;30%</t>
  </si>
  <si>
    <t># of schools with baseline Completed</t>
  </si>
  <si>
    <t># of schools with baseline Start</t>
  </si>
  <si>
    <t>Schools with &gt;20% Students in A&amp;B/total schools with Baseline Started</t>
  </si>
  <si>
    <t>Schools with Low/High session regularity/total schools with any regularity(Session Started)</t>
  </si>
  <si>
    <t>Schools with Idle GKP status/total schools with Baseline Started</t>
  </si>
  <si>
    <t>Schools with &gt;95% or less than 70% avg. attendance/total schools with Baseline Started</t>
  </si>
  <si>
    <t>Schools with greater than 10% attrition/total schools with End line Started</t>
  </si>
  <si>
    <t>Schools with &lt;80% children attending 50% sessions/total schools with Baseline Started</t>
  </si>
  <si>
    <t>Schools with &gt;80% children in Same Grade/total schools with Baseline Started</t>
  </si>
  <si>
    <t>Schools with &gt;80% children in Same Grade/total schools with EL Started</t>
  </si>
  <si>
    <t>Schools with &gt;30% Same grade BL-EL/total schools with EL Started</t>
  </si>
  <si>
    <t>Schools with &gt;20% Grade Loss/total schools with EL Started</t>
  </si>
  <si>
    <t>#Schools with Low Registration Alert</t>
  </si>
  <si>
    <t>FC Not Trained on GKP-L1</t>
  </si>
  <si>
    <t>TB Not Trained on GKP L1</t>
  </si>
  <si>
    <t>#children present in less the 50% session</t>
  </si>
  <si>
    <t>#Children coming in Grade A&amp;B/Total Children present in Baseline- Subject 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</si>
</sst>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9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/>
    </xf>
    <xf numFmtId="0" fontId="1" fillId="4" borderId="1" xfId="0" applyFont="1" applyFill="1" applyBorder="1" applyAlignment="1" applyProtection="1">
      <alignment horizontal="center" vertical="center" textRotation="90" wrapText="1"/>
    </xf>
    <xf numFmtId="0" fontId="0" fillId="0" borderId="0" xfId="0" applyAlignment="1"/>
    <xf numFmtId="0" fontId="1" fillId="0" borderId="1" xfId="0" applyFont="1" applyFill="1" applyBorder="1" applyAlignment="1" applyProtection="1">
      <alignment vertical="center" wrapText="1"/>
    </xf>
    <xf numFmtId="0" fontId="0" fillId="0" borderId="0" xfId="0" applyFill="1" applyAlignment="1">
      <alignment horizontal="center" vertical="center" textRotation="90" wrapText="1"/>
    </xf>
    <xf numFmtId="0" fontId="3" fillId="5" borderId="1" xfId="0" applyFont="1" applyFill="1" applyBorder="1" applyAlignment="1" applyProtection="1">
      <alignment horizontal="center" vertical="center" textRotation="90" wrapText="1"/>
    </xf>
    <xf numFmtId="0" fontId="3" fillId="2" borderId="1" xfId="0" applyFont="1" applyFill="1" applyBorder="1" applyAlignment="1" applyProtection="1">
      <alignment horizontal="center" vertical="center" wrapText="1"/>
    </xf>
    <xf numFmtId="9" fontId="3" fillId="5" borderId="1" xfId="1" applyFont="1" applyFill="1" applyBorder="1" applyAlignment="1" applyProtection="1">
      <alignment horizontal="center" vertical="center" textRotation="90" wrapText="1"/>
    </xf>
    <xf numFmtId="9" fontId="0" fillId="0" borderId="0" xfId="1" applyFont="1" applyAlignment="1"/>
    <xf numFmtId="0" fontId="1" fillId="0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 vertical="center" wrapText="1"/>
    </xf>
    <xf numFmtId="0" fontId="1" fillId="0" borderId="1" xfId="0" applyFont="1" applyFill="1" applyBorder="1" applyAlignment="1" applyProtection="1">
      <alignment horizontal="center" vertical="center" wrapText="1"/>
    </xf>
    <xf numFmtId="0" fontId="0" fillId="0" borderId="1" xfId="0" applyFill="1" applyBorder="1" applyAlignment="1" applyProtection="1">
      <alignment horizontal="left" vertical="center" wrapText="1"/>
    </xf>
    <xf numFmtId="0" fontId="0" fillId="0" borderId="1" xfId="0" applyFill="1" applyBorder="1" applyAlignment="1" applyProtection="1">
      <alignment vertical="center" wrapText="1"/>
    </xf>
    <xf numFmtId="0" fontId="0" fillId="6" borderId="1" xfId="0" applyFill="1" applyBorder="1" applyAlignment="1" applyProtection="1">
      <alignment vertical="center" wrapText="1"/>
    </xf>
    <xf numFmtId="0" fontId="3" fillId="2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 applyProtection="1">
      <alignment horizontal="center" vertical="center" textRotation="90" wrapText="1"/>
    </xf>
    <xf numFmtId="0" fontId="3" fillId="7" borderId="1" xfId="0" applyFont="1" applyFill="1" applyBorder="1" applyAlignment="1" applyProtection="1">
      <alignment horizontal="center" vertical="center" textRotation="90" wrapText="1"/>
    </xf>
    <xf numFmtId="9" fontId="3" fillId="7" borderId="1" xfId="0" applyNumberFormat="1" applyFont="1" applyFill="1" applyBorder="1" applyAlignment="1" applyProtection="1">
      <alignment horizontal="center" vertical="center" textRotation="90" wrapText="1"/>
    </xf>
    <xf numFmtId="0" fontId="3" fillId="8" borderId="1" xfId="0" applyFont="1" applyFill="1" applyBorder="1" applyAlignment="1" applyProtection="1">
      <alignment horizontal="center" vertical="center" textRotation="90" wrapText="1"/>
    </xf>
    <xf numFmtId="0" fontId="0" fillId="0" borderId="0" xfId="0" applyFill="1" applyAlignment="1" applyProtection="1">
      <alignment horizontal="center" vertical="center" textRotation="90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Alignment="1">
      <alignment wrapText="1"/>
    </xf>
    <xf numFmtId="1" fontId="3" fillId="7" borderId="1" xfId="1" applyNumberFormat="1" applyFont="1" applyFill="1" applyBorder="1" applyAlignment="1" applyProtection="1">
      <alignment horizontal="center" vertical="center" textRotation="90" wrapText="1"/>
    </xf>
    <xf numFmtId="9" fontId="3" fillId="7" borderId="1" xfId="1" applyFont="1" applyFill="1" applyBorder="1" applyAlignment="1" applyProtection="1">
      <alignment horizontal="center" vertical="center" textRotation="90" wrapText="1"/>
    </xf>
    <xf numFmtId="1" fontId="3" fillId="7" borderId="1" xfId="0" applyNumberFormat="1" applyFont="1" applyFill="1" applyBorder="1" applyAlignment="1" applyProtection="1">
      <alignment horizontal="center" vertical="center" textRotation="90" wrapText="1"/>
    </xf>
    <xf numFmtId="9" fontId="0" fillId="0" borderId="0" xfId="1" applyFont="1"/>
    <xf numFmtId="9" fontId="3" fillId="3" borderId="1" xfId="1" applyFont="1" applyFill="1" applyBorder="1" applyAlignment="1" applyProtection="1">
      <alignment horizontal="center" vertical="center" textRotation="90" wrapText="1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0" fontId="0" fillId="0" borderId="3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"/>
  <sheetViews>
    <sheetView tabSelected="1" workbookViewId="0">
      <pane ySplit="1" topLeftCell="A2" activePane="bottomLeft" state="frozen"/>
      <selection pane="bottomLeft" activeCell="I1" sqref="I1"/>
    </sheetView>
  </sheetViews>
  <sheetFormatPr defaultRowHeight="15" x14ac:dyDescent="0.25"/>
  <cols>
    <col min="1" max="1" width="20.140625" style="5" customWidth="1"/>
    <col min="2" max="2" width="10.5703125" style="5" bestFit="1" customWidth="1"/>
    <col min="3" max="3" width="19.140625" style="5" customWidth="1"/>
    <col min="4" max="4" width="12.28515625" style="5" bestFit="1" customWidth="1"/>
    <col min="5" max="5" width="19.5703125" style="5" bestFit="1" customWidth="1"/>
    <col min="6" max="6" width="18.85546875" style="5" bestFit="1" customWidth="1"/>
    <col min="7" max="7" width="11.42578125" style="5" bestFit="1" customWidth="1"/>
    <col min="8" max="8" width="10.7109375" style="5" bestFit="1" customWidth="1"/>
    <col min="9" max="9" width="16.5703125" style="5" bestFit="1" customWidth="1"/>
    <col min="10" max="10" width="15.85546875" style="5" bestFit="1" customWidth="1"/>
    <col min="11" max="11" width="13.140625" style="5" bestFit="1" customWidth="1"/>
    <col min="12" max="12" width="12.28515625" style="5" bestFit="1" customWidth="1"/>
    <col min="13" max="13" width="15.85546875" style="5" bestFit="1" customWidth="1"/>
    <col min="14" max="14" width="15.140625" style="5" bestFit="1" customWidth="1"/>
    <col min="15" max="15" width="16.85546875" style="5" customWidth="1"/>
    <col min="16" max="16" width="16.28515625" style="5" customWidth="1"/>
    <col min="17" max="17" width="23.42578125" style="5" customWidth="1"/>
    <col min="18" max="18" width="16" style="5" customWidth="1"/>
    <col min="19" max="19" width="9.85546875" style="5" customWidth="1"/>
    <col min="20" max="20" width="6.5703125" style="5" bestFit="1" customWidth="1"/>
    <col min="21" max="21" width="16.85546875" style="5" customWidth="1"/>
    <col min="22" max="22" width="7.42578125" style="11" customWidth="1"/>
    <col min="23" max="23" width="6.140625" style="11" customWidth="1"/>
    <col min="24" max="24" width="6.42578125" style="11" customWidth="1"/>
    <col min="25" max="25" width="6.5703125" style="11" bestFit="1" customWidth="1"/>
    <col min="26" max="28" width="9.42578125" style="11" bestFit="1" customWidth="1"/>
    <col min="29" max="29" width="8.28515625" style="5" customWidth="1"/>
    <col min="30" max="30" width="7.42578125" style="5" customWidth="1"/>
    <col min="31" max="31" width="5.140625" style="5" customWidth="1"/>
    <col min="32" max="32" width="6.5703125" style="5" customWidth="1"/>
    <col min="33" max="33" width="9.42578125" style="11" bestFit="1" customWidth="1"/>
    <col min="34" max="34" width="6.28515625" style="11" customWidth="1"/>
    <col min="35" max="35" width="8.85546875" style="11" customWidth="1"/>
    <col min="36" max="36" width="9.42578125" style="5" bestFit="1" customWidth="1"/>
    <col min="37" max="43" width="6.5703125" style="11" bestFit="1" customWidth="1"/>
    <col min="44" max="46" width="9.42578125" style="11" bestFit="1" customWidth="1"/>
    <col min="47" max="49" width="6.5703125" style="11" bestFit="1" customWidth="1"/>
    <col min="50" max="55" width="6.5703125" style="5" bestFit="1" customWidth="1"/>
    <col min="56" max="16384" width="9.140625" style="5"/>
  </cols>
  <sheetData>
    <row r="1" spans="1:55" s="7" customFormat="1" ht="96.75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8" t="s">
        <v>115</v>
      </c>
      <c r="T1" s="8" t="s">
        <v>46</v>
      </c>
      <c r="U1" s="8" t="s">
        <v>102</v>
      </c>
      <c r="V1" s="10" t="s">
        <v>83</v>
      </c>
      <c r="W1" s="10" t="s">
        <v>84</v>
      </c>
      <c r="X1" s="10" t="s">
        <v>85</v>
      </c>
      <c r="Y1" s="10" t="s">
        <v>18</v>
      </c>
      <c r="Z1" s="10" t="s">
        <v>54</v>
      </c>
      <c r="AA1" s="10" t="s">
        <v>55</v>
      </c>
      <c r="AB1" s="10" t="s">
        <v>56</v>
      </c>
      <c r="AC1" s="8" t="s">
        <v>22</v>
      </c>
      <c r="AD1" s="8" t="s">
        <v>23</v>
      </c>
      <c r="AE1" s="8" t="s">
        <v>119</v>
      </c>
      <c r="AF1" s="8" t="s">
        <v>62</v>
      </c>
      <c r="AG1" s="10" t="s">
        <v>110</v>
      </c>
      <c r="AH1" s="10" t="s">
        <v>19</v>
      </c>
      <c r="AI1" s="10" t="s">
        <v>106</v>
      </c>
      <c r="AJ1" s="8" t="s">
        <v>68</v>
      </c>
      <c r="AK1" s="10" t="s">
        <v>101</v>
      </c>
      <c r="AL1" s="10" t="s">
        <v>69</v>
      </c>
      <c r="AM1" s="10" t="s">
        <v>70</v>
      </c>
      <c r="AN1" s="10" t="s">
        <v>71</v>
      </c>
      <c r="AO1" s="10" t="s">
        <v>72</v>
      </c>
      <c r="AP1" s="10" t="s">
        <v>73</v>
      </c>
      <c r="AQ1" s="10" t="s">
        <v>74</v>
      </c>
      <c r="AR1" s="10" t="s">
        <v>130</v>
      </c>
      <c r="AS1" s="10" t="s">
        <v>131</v>
      </c>
      <c r="AT1" s="10" t="s">
        <v>132</v>
      </c>
      <c r="AU1" s="10" t="s">
        <v>79</v>
      </c>
      <c r="AV1" s="10" t="s">
        <v>80</v>
      </c>
      <c r="AW1" s="10" t="s">
        <v>81</v>
      </c>
      <c r="AX1" s="8" t="s">
        <v>20</v>
      </c>
      <c r="AY1" s="8" t="s">
        <v>21</v>
      </c>
      <c r="AZ1" s="8" t="s">
        <v>111</v>
      </c>
      <c r="BA1" s="8" t="s">
        <v>112</v>
      </c>
      <c r="BB1" s="8" t="s">
        <v>172</v>
      </c>
      <c r="BC1" s="8" t="s">
        <v>173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selection activeCell="G1" sqref="G1"/>
    </sheetView>
  </sheetViews>
  <sheetFormatPr defaultRowHeight="15" x14ac:dyDescent="0.25"/>
  <cols>
    <col min="1" max="1" width="19.5703125" customWidth="1"/>
    <col min="2" max="2" width="14.28515625" customWidth="1"/>
    <col min="3" max="3" width="21.5703125" customWidth="1"/>
    <col min="4" max="4" width="16.28515625" customWidth="1"/>
    <col min="5" max="5" width="18.85546875" customWidth="1"/>
    <col min="6" max="6" width="13.7109375" customWidth="1"/>
    <col min="7" max="7" width="19.85546875" customWidth="1"/>
    <col min="9" max="9" width="9.140625" style="34"/>
    <col min="18" max="38" width="9.140625" style="34"/>
  </cols>
  <sheetData>
    <row r="1" spans="1:42" s="23" customFormat="1" ht="144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35" t="s">
        <v>129</v>
      </c>
      <c r="J1" s="20" t="s">
        <v>134</v>
      </c>
      <c r="K1" s="20" t="s">
        <v>46</v>
      </c>
      <c r="L1" s="20" t="s">
        <v>159</v>
      </c>
      <c r="M1" s="20" t="s">
        <v>160</v>
      </c>
      <c r="N1" s="20" t="s">
        <v>136</v>
      </c>
      <c r="O1" s="20" t="s">
        <v>137</v>
      </c>
      <c r="P1" s="20" t="s">
        <v>171</v>
      </c>
      <c r="Q1" s="31" t="s">
        <v>138</v>
      </c>
      <c r="R1" s="32" t="s">
        <v>139</v>
      </c>
      <c r="S1" s="32" t="s">
        <v>140</v>
      </c>
      <c r="T1" s="32" t="s">
        <v>141</v>
      </c>
      <c r="U1" s="32" t="s">
        <v>142</v>
      </c>
      <c r="V1" s="32" t="s">
        <v>143</v>
      </c>
      <c r="W1" s="32" t="s">
        <v>144</v>
      </c>
      <c r="X1" s="32" t="s">
        <v>145</v>
      </c>
      <c r="Y1" s="32" t="s">
        <v>146</v>
      </c>
      <c r="Z1" s="32" t="s">
        <v>147</v>
      </c>
      <c r="AA1" s="32" t="s">
        <v>148</v>
      </c>
      <c r="AB1" s="32" t="s">
        <v>149</v>
      </c>
      <c r="AC1" s="32" t="s">
        <v>150</v>
      </c>
      <c r="AD1" s="32" t="s">
        <v>151</v>
      </c>
      <c r="AE1" s="32" t="s">
        <v>152</v>
      </c>
      <c r="AF1" s="32" t="s">
        <v>153</v>
      </c>
      <c r="AG1" s="32" t="s">
        <v>130</v>
      </c>
      <c r="AH1" s="32" t="s">
        <v>131</v>
      </c>
      <c r="AI1" s="32" t="s">
        <v>132</v>
      </c>
      <c r="AJ1" s="32" t="s">
        <v>79</v>
      </c>
      <c r="AK1" s="32" t="s">
        <v>80</v>
      </c>
      <c r="AL1" s="32" t="s">
        <v>81</v>
      </c>
      <c r="AM1" s="20" t="s">
        <v>111</v>
      </c>
      <c r="AN1" s="20" t="s">
        <v>112</v>
      </c>
      <c r="AO1" s="20" t="s">
        <v>172</v>
      </c>
      <c r="AP1" s="20" t="s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"/>
  <sheetViews>
    <sheetView workbookViewId="0">
      <selection activeCell="C1" sqref="C1"/>
    </sheetView>
  </sheetViews>
  <sheetFormatPr defaultRowHeight="15" x14ac:dyDescent="0.25"/>
  <cols>
    <col min="1" max="1" width="20.5703125" customWidth="1"/>
    <col min="2" max="2" width="16.5703125" customWidth="1"/>
    <col min="3" max="3" width="17" customWidth="1"/>
    <col min="4" max="4" width="11.5703125" customWidth="1"/>
    <col min="5" max="5" width="9.140625" style="34"/>
    <col min="14" max="34" width="9.140625" style="34"/>
  </cols>
  <sheetData>
    <row r="1" spans="1:38" s="23" customFormat="1" ht="144" x14ac:dyDescent="0.25">
      <c r="A1" s="18" t="s">
        <v>0</v>
      </c>
      <c r="B1" s="18" t="s">
        <v>1</v>
      </c>
      <c r="C1" s="18" t="s">
        <v>2</v>
      </c>
      <c r="D1" s="18" t="s">
        <v>3</v>
      </c>
      <c r="E1" s="35" t="s">
        <v>129</v>
      </c>
      <c r="F1" s="20" t="s">
        <v>134</v>
      </c>
      <c r="G1" s="20" t="s">
        <v>46</v>
      </c>
      <c r="H1" s="20" t="s">
        <v>159</v>
      </c>
      <c r="I1" s="20" t="s">
        <v>160</v>
      </c>
      <c r="J1" s="20" t="s">
        <v>136</v>
      </c>
      <c r="K1" s="20" t="s">
        <v>137</v>
      </c>
      <c r="L1" s="20" t="s">
        <v>171</v>
      </c>
      <c r="M1" s="31" t="s">
        <v>138</v>
      </c>
      <c r="N1" s="32" t="s">
        <v>139</v>
      </c>
      <c r="O1" s="32" t="s">
        <v>140</v>
      </c>
      <c r="P1" s="32" t="s">
        <v>141</v>
      </c>
      <c r="Q1" s="32" t="s">
        <v>142</v>
      </c>
      <c r="R1" s="32" t="s">
        <v>143</v>
      </c>
      <c r="S1" s="32" t="s">
        <v>144</v>
      </c>
      <c r="T1" s="32" t="s">
        <v>145</v>
      </c>
      <c r="U1" s="32" t="s">
        <v>146</v>
      </c>
      <c r="V1" s="32" t="s">
        <v>147</v>
      </c>
      <c r="W1" s="32" t="s">
        <v>148</v>
      </c>
      <c r="X1" s="32" t="s">
        <v>149</v>
      </c>
      <c r="Y1" s="32" t="s">
        <v>150</v>
      </c>
      <c r="Z1" s="32" t="s">
        <v>151</v>
      </c>
      <c r="AA1" s="32" t="s">
        <v>152</v>
      </c>
      <c r="AB1" s="32" t="s">
        <v>153</v>
      </c>
      <c r="AC1" s="32" t="s">
        <v>130</v>
      </c>
      <c r="AD1" s="32" t="s">
        <v>131</v>
      </c>
      <c r="AE1" s="32" t="s">
        <v>132</v>
      </c>
      <c r="AF1" s="32" t="s">
        <v>79</v>
      </c>
      <c r="AG1" s="32" t="s">
        <v>80</v>
      </c>
      <c r="AH1" s="32" t="s">
        <v>81</v>
      </c>
      <c r="AI1" s="20" t="s">
        <v>111</v>
      </c>
      <c r="AJ1" s="20" t="s">
        <v>112</v>
      </c>
      <c r="AK1" s="20" t="s">
        <v>172</v>
      </c>
      <c r="AL1" s="20" t="s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"/>
  <sheetViews>
    <sheetView workbookViewId="0"/>
  </sheetViews>
  <sheetFormatPr defaultRowHeight="15" x14ac:dyDescent="0.25"/>
  <cols>
    <col min="1" max="1" width="11.85546875" customWidth="1"/>
    <col min="2" max="2" width="10.85546875" customWidth="1"/>
    <col min="3" max="3" width="9.140625" style="34"/>
    <col min="12" max="32" width="9.140625" style="34"/>
  </cols>
  <sheetData>
    <row r="1" spans="1:36" s="23" customFormat="1" ht="144" x14ac:dyDescent="0.25">
      <c r="A1" s="18" t="s">
        <v>0</v>
      </c>
      <c r="B1" s="18" t="s">
        <v>1</v>
      </c>
      <c r="C1" s="35" t="s">
        <v>129</v>
      </c>
      <c r="D1" s="20" t="s">
        <v>134</v>
      </c>
      <c r="E1" s="20" t="s">
        <v>46</v>
      </c>
      <c r="F1" s="20" t="s">
        <v>159</v>
      </c>
      <c r="G1" s="20" t="s">
        <v>160</v>
      </c>
      <c r="H1" s="20" t="s">
        <v>136</v>
      </c>
      <c r="I1" s="20" t="s">
        <v>137</v>
      </c>
      <c r="J1" s="20" t="s">
        <v>171</v>
      </c>
      <c r="K1" s="33" t="s">
        <v>138</v>
      </c>
      <c r="L1" s="32" t="s">
        <v>139</v>
      </c>
      <c r="M1" s="32" t="s">
        <v>140</v>
      </c>
      <c r="N1" s="32" t="s">
        <v>141</v>
      </c>
      <c r="O1" s="32" t="s">
        <v>142</v>
      </c>
      <c r="P1" s="32" t="s">
        <v>143</v>
      </c>
      <c r="Q1" s="32" t="s">
        <v>144</v>
      </c>
      <c r="R1" s="32" t="s">
        <v>145</v>
      </c>
      <c r="S1" s="32" t="s">
        <v>146</v>
      </c>
      <c r="T1" s="32" t="s">
        <v>147</v>
      </c>
      <c r="U1" s="32" t="s">
        <v>148</v>
      </c>
      <c r="V1" s="32" t="s">
        <v>149</v>
      </c>
      <c r="W1" s="32" t="s">
        <v>150</v>
      </c>
      <c r="X1" s="32" t="s">
        <v>151</v>
      </c>
      <c r="Y1" s="32" t="s">
        <v>152</v>
      </c>
      <c r="Z1" s="32" t="s">
        <v>153</v>
      </c>
      <c r="AA1" s="32" t="s">
        <v>130</v>
      </c>
      <c r="AB1" s="32" t="s">
        <v>131</v>
      </c>
      <c r="AC1" s="32" t="s">
        <v>132</v>
      </c>
      <c r="AD1" s="32" t="s">
        <v>79</v>
      </c>
      <c r="AE1" s="32" t="s">
        <v>80</v>
      </c>
      <c r="AF1" s="32" t="s">
        <v>81</v>
      </c>
      <c r="AG1" s="20" t="s">
        <v>111</v>
      </c>
      <c r="AH1" s="20" t="s">
        <v>112</v>
      </c>
      <c r="AI1" s="20" t="s">
        <v>172</v>
      </c>
      <c r="AJ1" s="20" t="s">
        <v>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I1" sqref="I1"/>
    </sheetView>
  </sheetViews>
  <sheetFormatPr defaultRowHeight="15" x14ac:dyDescent="0.25"/>
  <sheetData>
    <row r="1" spans="1:41" s="23" customFormat="1" ht="96.7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129</v>
      </c>
      <c r="J1" s="20" t="s">
        <v>134</v>
      </c>
      <c r="K1" s="20" t="s">
        <v>46</v>
      </c>
      <c r="L1" s="20" t="s">
        <v>135</v>
      </c>
      <c r="M1" s="20" t="s">
        <v>136</v>
      </c>
      <c r="N1" s="20" t="s">
        <v>137</v>
      </c>
      <c r="O1" s="20" t="s">
        <v>171</v>
      </c>
      <c r="P1" s="21" t="s">
        <v>138</v>
      </c>
      <c r="Q1" s="21" t="s">
        <v>139</v>
      </c>
      <c r="R1" s="21" t="s">
        <v>140</v>
      </c>
      <c r="S1" s="21" t="s">
        <v>141</v>
      </c>
      <c r="T1" s="21" t="s">
        <v>142</v>
      </c>
      <c r="U1" s="20" t="s">
        <v>143</v>
      </c>
      <c r="V1" s="20" t="s">
        <v>144</v>
      </c>
      <c r="W1" s="20" t="s">
        <v>145</v>
      </c>
      <c r="X1" s="20" t="s">
        <v>146</v>
      </c>
      <c r="Y1" s="22" t="s">
        <v>147</v>
      </c>
      <c r="Z1" s="20" t="s">
        <v>148</v>
      </c>
      <c r="AA1" s="20" t="s">
        <v>149</v>
      </c>
      <c r="AB1" s="20" t="s">
        <v>150</v>
      </c>
      <c r="AC1" s="20" t="s">
        <v>151</v>
      </c>
      <c r="AD1" s="20" t="s">
        <v>152</v>
      </c>
      <c r="AE1" s="20" t="s">
        <v>153</v>
      </c>
      <c r="AF1" s="20" t="s">
        <v>130</v>
      </c>
      <c r="AG1" s="20" t="s">
        <v>131</v>
      </c>
      <c r="AH1" s="20" t="s">
        <v>132</v>
      </c>
      <c r="AI1" s="20" t="s">
        <v>79</v>
      </c>
      <c r="AJ1" s="20" t="s">
        <v>80</v>
      </c>
      <c r="AK1" s="20" t="s">
        <v>81</v>
      </c>
      <c r="AL1" s="20" t="s">
        <v>111</v>
      </c>
      <c r="AM1" s="20" t="s">
        <v>112</v>
      </c>
      <c r="AN1" s="20" t="s">
        <v>172</v>
      </c>
      <c r="AO1" s="20" t="s">
        <v>173</v>
      </c>
    </row>
    <row r="2" spans="1:41" s="25" customFormat="1" ht="180" x14ac:dyDescent="0.25">
      <c r="A2" s="24"/>
      <c r="B2" s="24"/>
      <c r="C2" s="24"/>
      <c r="D2" s="24"/>
      <c r="E2" s="24"/>
      <c r="F2" s="24"/>
      <c r="G2" s="24"/>
      <c r="H2" s="24"/>
      <c r="I2" s="24" t="s">
        <v>154</v>
      </c>
      <c r="J2" s="24"/>
      <c r="K2" s="24"/>
      <c r="L2" s="24"/>
      <c r="M2" s="24"/>
      <c r="N2" s="24"/>
      <c r="O2" s="24"/>
      <c r="Q2" s="26" t="s">
        <v>155</v>
      </c>
      <c r="R2" s="27" t="s">
        <v>161</v>
      </c>
      <c r="S2" s="27" t="s">
        <v>161</v>
      </c>
      <c r="T2" s="27" t="s">
        <v>161</v>
      </c>
      <c r="U2" s="26" t="s">
        <v>162</v>
      </c>
      <c r="V2" s="24" t="s">
        <v>163</v>
      </c>
      <c r="W2" s="24" t="s">
        <v>164</v>
      </c>
      <c r="X2" s="26" t="s">
        <v>165</v>
      </c>
      <c r="Y2" s="26" t="s">
        <v>166</v>
      </c>
      <c r="Z2" s="26" t="s">
        <v>167</v>
      </c>
      <c r="AA2" s="26" t="s">
        <v>167</v>
      </c>
      <c r="AB2" s="26" t="s">
        <v>167</v>
      </c>
      <c r="AC2" s="26" t="s">
        <v>168</v>
      </c>
      <c r="AD2" s="26" t="s">
        <v>168</v>
      </c>
      <c r="AE2" s="26" t="s">
        <v>168</v>
      </c>
      <c r="AF2" s="24" t="s">
        <v>169</v>
      </c>
      <c r="AG2" s="24" t="s">
        <v>169</v>
      </c>
      <c r="AH2" s="24" t="s">
        <v>169</v>
      </c>
      <c r="AI2" s="26" t="s">
        <v>170</v>
      </c>
      <c r="AJ2" s="26" t="s">
        <v>170</v>
      </c>
      <c r="AK2" s="26" t="s">
        <v>170</v>
      </c>
      <c r="AL2" s="24" t="s">
        <v>156</v>
      </c>
      <c r="AM2" s="24" t="s">
        <v>157</v>
      </c>
      <c r="AN2" s="24" t="s">
        <v>156</v>
      </c>
      <c r="AO2" s="24" t="s">
        <v>157</v>
      </c>
    </row>
    <row r="3" spans="1:41" s="30" customFormat="1" ht="45.75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4"/>
      <c r="O3" s="24"/>
      <c r="P3" s="24"/>
      <c r="Q3" s="29" t="s">
        <v>158</v>
      </c>
      <c r="R3" s="29" t="s">
        <v>158</v>
      </c>
      <c r="S3" s="29" t="s">
        <v>158</v>
      </c>
      <c r="T3" s="29" t="s">
        <v>158</v>
      </c>
      <c r="U3" s="29" t="s">
        <v>158</v>
      </c>
      <c r="V3" s="29" t="s">
        <v>158</v>
      </c>
      <c r="W3" s="29" t="s">
        <v>158</v>
      </c>
      <c r="X3" s="29" t="s">
        <v>158</v>
      </c>
      <c r="Y3" s="29" t="s">
        <v>158</v>
      </c>
      <c r="Z3" s="29" t="s">
        <v>158</v>
      </c>
      <c r="AA3" s="29" t="s">
        <v>158</v>
      </c>
      <c r="AB3" s="29" t="s">
        <v>158</v>
      </c>
      <c r="AC3" s="29" t="s">
        <v>158</v>
      </c>
      <c r="AD3" s="29" t="s">
        <v>158</v>
      </c>
      <c r="AE3" s="29" t="s">
        <v>158</v>
      </c>
      <c r="AF3" s="29" t="s">
        <v>158</v>
      </c>
      <c r="AG3" s="29" t="s">
        <v>158</v>
      </c>
      <c r="AH3" s="29" t="s">
        <v>158</v>
      </c>
      <c r="AI3" s="29" t="s">
        <v>158</v>
      </c>
      <c r="AJ3" s="29" t="s">
        <v>158</v>
      </c>
      <c r="AK3" s="29" t="s">
        <v>158</v>
      </c>
      <c r="AL3" s="29"/>
      <c r="AM3" s="29"/>
      <c r="AN3" s="29"/>
      <c r="AO3" s="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opLeftCell="A2" workbookViewId="0">
      <selection activeCell="B9" sqref="B9"/>
    </sheetView>
  </sheetViews>
  <sheetFormatPr defaultRowHeight="15" x14ac:dyDescent="0.25"/>
  <cols>
    <col min="1" max="1" width="45.85546875"/>
    <col min="2" max="2" width="56" customWidth="1"/>
    <col min="3" max="3" width="50.5703125" customWidth="1"/>
    <col min="4" max="16384" width="9.140625" style="5"/>
  </cols>
  <sheetData>
    <row r="1" spans="1:3" x14ac:dyDescent="0.25">
      <c r="A1" s="12" t="s">
        <v>86</v>
      </c>
      <c r="B1" s="13" t="s">
        <v>89</v>
      </c>
      <c r="C1" s="14" t="s">
        <v>88</v>
      </c>
    </row>
    <row r="2" spans="1:3" x14ac:dyDescent="0.25">
      <c r="A2" s="6" t="s">
        <v>46</v>
      </c>
      <c r="B2" s="15" t="s">
        <v>87</v>
      </c>
      <c r="C2" s="16"/>
    </row>
    <row r="3" spans="1:3" ht="30" x14ac:dyDescent="0.25">
      <c r="A3" s="6" t="s">
        <v>102</v>
      </c>
      <c r="B3" s="15"/>
      <c r="C3" s="16" t="s">
        <v>99</v>
      </c>
    </row>
    <row r="4" spans="1:3" customFormat="1" ht="30" customHeight="1" x14ac:dyDescent="0.25">
      <c r="A4" s="6" t="s">
        <v>129</v>
      </c>
      <c r="B4" s="15"/>
      <c r="C4" s="16"/>
    </row>
    <row r="5" spans="1:3" x14ac:dyDescent="0.25">
      <c r="A5" s="6" t="s">
        <v>83</v>
      </c>
      <c r="B5" s="15" t="s">
        <v>90</v>
      </c>
      <c r="C5" s="17" t="s">
        <v>133</v>
      </c>
    </row>
    <row r="6" spans="1:3" x14ac:dyDescent="0.25">
      <c r="A6" s="6" t="s">
        <v>84</v>
      </c>
      <c r="B6" s="15" t="s">
        <v>91</v>
      </c>
      <c r="C6" s="17" t="s">
        <v>133</v>
      </c>
    </row>
    <row r="7" spans="1:3" x14ac:dyDescent="0.25">
      <c r="A7" s="6" t="s">
        <v>85</v>
      </c>
      <c r="B7" s="15" t="s">
        <v>92</v>
      </c>
      <c r="C7" s="17" t="s">
        <v>133</v>
      </c>
    </row>
    <row r="8" spans="1:3" ht="45" x14ac:dyDescent="0.25">
      <c r="A8" s="6" t="s">
        <v>18</v>
      </c>
      <c r="B8" s="15" t="s">
        <v>93</v>
      </c>
      <c r="C8" s="16" t="s">
        <v>100</v>
      </c>
    </row>
    <row r="9" spans="1:3" ht="65.25" customHeight="1" x14ac:dyDescent="0.25">
      <c r="A9" s="6" t="s">
        <v>54</v>
      </c>
      <c r="B9" s="16" t="s">
        <v>175</v>
      </c>
      <c r="C9" s="16" t="s">
        <v>116</v>
      </c>
    </row>
    <row r="10" spans="1:3" ht="45" x14ac:dyDescent="0.25">
      <c r="A10" s="6" t="s">
        <v>55</v>
      </c>
      <c r="B10" s="16"/>
      <c r="C10" s="16" t="s">
        <v>116</v>
      </c>
    </row>
    <row r="11" spans="1:3" ht="45" x14ac:dyDescent="0.25">
      <c r="A11" s="6" t="s">
        <v>56</v>
      </c>
      <c r="B11" s="16"/>
      <c r="C11" s="16" t="s">
        <v>117</v>
      </c>
    </row>
    <row r="12" spans="1:3" ht="45" x14ac:dyDescent="0.25">
      <c r="A12" s="6" t="s">
        <v>22</v>
      </c>
      <c r="B12" s="6" t="s">
        <v>103</v>
      </c>
      <c r="C12" s="16" t="s">
        <v>118</v>
      </c>
    </row>
    <row r="13" spans="1:3" ht="45" x14ac:dyDescent="0.25">
      <c r="A13" s="6" t="s">
        <v>23</v>
      </c>
      <c r="B13" s="6" t="s">
        <v>104</v>
      </c>
      <c r="C13" s="16" t="s">
        <v>118</v>
      </c>
    </row>
    <row r="14" spans="1:3" ht="45" x14ac:dyDescent="0.25">
      <c r="A14" s="6" t="s">
        <v>119</v>
      </c>
      <c r="B14" s="15" t="s">
        <v>120</v>
      </c>
      <c r="C14" s="16" t="s">
        <v>121</v>
      </c>
    </row>
    <row r="15" spans="1:3" ht="30" x14ac:dyDescent="0.25">
      <c r="A15" s="6" t="s">
        <v>62</v>
      </c>
      <c r="B15" s="15" t="s">
        <v>94</v>
      </c>
      <c r="C15" s="16" t="s">
        <v>122</v>
      </c>
    </row>
    <row r="16" spans="1:3" ht="45" x14ac:dyDescent="0.25">
      <c r="A16" s="6" t="s">
        <v>110</v>
      </c>
      <c r="B16" s="16" t="s">
        <v>105</v>
      </c>
      <c r="C16" s="16" t="s">
        <v>123</v>
      </c>
    </row>
    <row r="17" spans="1:3" ht="45" x14ac:dyDescent="0.25">
      <c r="A17" s="6" t="s">
        <v>19</v>
      </c>
      <c r="B17" s="15" t="s">
        <v>24</v>
      </c>
      <c r="C17" s="16" t="s">
        <v>124</v>
      </c>
    </row>
    <row r="18" spans="1:3" ht="45" x14ac:dyDescent="0.25">
      <c r="A18" s="6" t="s">
        <v>106</v>
      </c>
      <c r="B18" s="15" t="s">
        <v>107</v>
      </c>
      <c r="C18" s="16" t="s">
        <v>100</v>
      </c>
    </row>
    <row r="19" spans="1:3" x14ac:dyDescent="0.25">
      <c r="A19" s="6" t="s">
        <v>68</v>
      </c>
      <c r="B19" s="15" t="s">
        <v>174</v>
      </c>
      <c r="C19" s="16"/>
    </row>
    <row r="20" spans="1:3" x14ac:dyDescent="0.25">
      <c r="A20" s="6" t="s">
        <v>101</v>
      </c>
      <c r="B20" s="15" t="s">
        <v>108</v>
      </c>
      <c r="C20" s="16" t="s">
        <v>125</v>
      </c>
    </row>
    <row r="21" spans="1:3" ht="15" customHeight="1" x14ac:dyDescent="0.25">
      <c r="A21" s="6" t="s">
        <v>69</v>
      </c>
      <c r="B21" s="16" t="s">
        <v>109</v>
      </c>
      <c r="C21" s="16" t="s">
        <v>126</v>
      </c>
    </row>
    <row r="22" spans="1:3" x14ac:dyDescent="0.25">
      <c r="A22" s="6" t="s">
        <v>70</v>
      </c>
      <c r="B22" s="16"/>
      <c r="C22" s="16"/>
    </row>
    <row r="23" spans="1:3" x14ac:dyDescent="0.25">
      <c r="A23" s="6" t="s">
        <v>71</v>
      </c>
      <c r="B23" s="16"/>
      <c r="C23" s="16"/>
    </row>
    <row r="24" spans="1:3" x14ac:dyDescent="0.25">
      <c r="A24" s="6" t="s">
        <v>72</v>
      </c>
      <c r="B24" s="16"/>
      <c r="C24" s="16"/>
    </row>
    <row r="25" spans="1:3" x14ac:dyDescent="0.25">
      <c r="A25" s="6" t="s">
        <v>73</v>
      </c>
      <c r="B25" s="16"/>
      <c r="C25" s="16"/>
    </row>
    <row r="26" spans="1:3" x14ac:dyDescent="0.25">
      <c r="A26" s="6" t="s">
        <v>74</v>
      </c>
      <c r="B26" s="16"/>
      <c r="C26" s="16"/>
    </row>
    <row r="27" spans="1:3" ht="15" customHeight="1" x14ac:dyDescent="0.25">
      <c r="A27" s="6" t="s">
        <v>76</v>
      </c>
      <c r="B27" s="16" t="s">
        <v>75</v>
      </c>
      <c r="C27" s="16" t="s">
        <v>127</v>
      </c>
    </row>
    <row r="28" spans="1:3" x14ac:dyDescent="0.25">
      <c r="A28" s="6" t="s">
        <v>77</v>
      </c>
      <c r="B28" s="16"/>
      <c r="C28" s="16"/>
    </row>
    <row r="29" spans="1:3" x14ac:dyDescent="0.25">
      <c r="A29" s="6" t="s">
        <v>78</v>
      </c>
      <c r="B29" s="16"/>
      <c r="C29" s="16"/>
    </row>
    <row r="30" spans="1:3" ht="15" customHeight="1" x14ac:dyDescent="0.25">
      <c r="A30" s="6" t="s">
        <v>79</v>
      </c>
      <c r="B30" s="16" t="s">
        <v>82</v>
      </c>
      <c r="C30" s="16" t="s">
        <v>128</v>
      </c>
    </row>
    <row r="31" spans="1:3" x14ac:dyDescent="0.25">
      <c r="A31" s="6" t="s">
        <v>80</v>
      </c>
      <c r="B31" s="16"/>
      <c r="C31" s="16"/>
    </row>
    <row r="32" spans="1:3" x14ac:dyDescent="0.25">
      <c r="A32" s="6" t="s">
        <v>81</v>
      </c>
      <c r="B32" s="16"/>
      <c r="C32" s="16"/>
    </row>
    <row r="33" spans="1:3" x14ac:dyDescent="0.25">
      <c r="A33" s="6" t="s">
        <v>20</v>
      </c>
      <c r="B33" s="15" t="s">
        <v>20</v>
      </c>
      <c r="C33" s="16"/>
    </row>
    <row r="34" spans="1:3" x14ac:dyDescent="0.25">
      <c r="A34" s="6" t="s">
        <v>21</v>
      </c>
      <c r="B34" s="15" t="s">
        <v>21</v>
      </c>
      <c r="C34" s="16"/>
    </row>
    <row r="35" spans="1:3" ht="45" x14ac:dyDescent="0.25">
      <c r="A35" s="13" t="s">
        <v>95</v>
      </c>
      <c r="B35" s="15" t="s">
        <v>95</v>
      </c>
      <c r="C35" s="16" t="s">
        <v>114</v>
      </c>
    </row>
    <row r="36" spans="1:3" ht="45" x14ac:dyDescent="0.25">
      <c r="A36" s="13" t="s">
        <v>96</v>
      </c>
      <c r="B36" s="15" t="s">
        <v>96</v>
      </c>
      <c r="C36" s="16" t="s">
        <v>113</v>
      </c>
    </row>
    <row r="37" spans="1:3" ht="45" x14ac:dyDescent="0.25">
      <c r="A37" s="13" t="s">
        <v>97</v>
      </c>
      <c r="B37" s="15" t="s">
        <v>97</v>
      </c>
      <c r="C37" s="16" t="s">
        <v>113</v>
      </c>
    </row>
    <row r="38" spans="1:3" ht="45" x14ac:dyDescent="0.25">
      <c r="A38" s="13" t="s">
        <v>98</v>
      </c>
      <c r="B38" s="15" t="s">
        <v>98</v>
      </c>
      <c r="C38" s="16" t="s">
        <v>113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topLeftCell="K1" workbookViewId="0">
      <selection activeCell="R2" sqref="R2"/>
    </sheetView>
  </sheetViews>
  <sheetFormatPr defaultRowHeight="15" x14ac:dyDescent="0.25"/>
  <cols>
    <col min="11" max="11" width="18" bestFit="1" customWidth="1"/>
    <col min="12" max="12" width="17" customWidth="1"/>
    <col min="13" max="13" width="17.140625" customWidth="1"/>
    <col min="14" max="14" width="19.5703125" customWidth="1"/>
    <col min="15" max="18" width="17" customWidth="1"/>
    <col min="19" max="19" width="15.7109375" customWidth="1"/>
    <col min="20" max="20" width="14.7109375" customWidth="1"/>
    <col min="21" max="21" width="12.5703125" customWidth="1"/>
    <col min="22" max="22" width="19" customWidth="1"/>
    <col min="23" max="23" width="21.85546875" customWidth="1"/>
  </cols>
  <sheetData>
    <row r="1" spans="1:23" x14ac:dyDescent="0.25">
      <c r="K1" s="36" t="s">
        <v>47</v>
      </c>
      <c r="L1" s="37"/>
      <c r="M1" s="38" t="s">
        <v>53</v>
      </c>
      <c r="N1" s="38"/>
      <c r="O1" s="38"/>
      <c r="P1" s="3"/>
      <c r="Q1" s="3"/>
      <c r="R1" s="3"/>
      <c r="S1" t="s">
        <v>60</v>
      </c>
    </row>
    <row r="2" spans="1:23" ht="4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48</v>
      </c>
      <c r="L2" s="1" t="s">
        <v>49</v>
      </c>
      <c r="M2" s="1" t="s">
        <v>50</v>
      </c>
      <c r="N2" s="1" t="s">
        <v>51</v>
      </c>
      <c r="O2" s="2" t="s">
        <v>57</v>
      </c>
      <c r="P2" s="1" t="s">
        <v>66</v>
      </c>
      <c r="Q2" s="1" t="s">
        <v>67</v>
      </c>
      <c r="R2" s="4"/>
      <c r="S2" s="1" t="s">
        <v>58</v>
      </c>
      <c r="T2" s="1" t="s">
        <v>59</v>
      </c>
      <c r="U2" s="1" t="s">
        <v>61</v>
      </c>
      <c r="V2" s="1" t="s">
        <v>63</v>
      </c>
      <c r="W2" s="1" t="s">
        <v>64</v>
      </c>
    </row>
    <row r="3" spans="1:23" x14ac:dyDescent="0.25">
      <c r="N3" t="s">
        <v>52</v>
      </c>
    </row>
    <row r="5" spans="1:23" x14ac:dyDescent="0.25">
      <c r="V5" t="s">
        <v>65</v>
      </c>
    </row>
    <row r="7" spans="1:23" x14ac:dyDescent="0.25">
      <c r="W7">
        <f>38/40</f>
        <v>0.95</v>
      </c>
    </row>
  </sheetData>
  <mergeCells count="2">
    <mergeCell ref="K1:L1"/>
    <mergeCell ref="M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B4" sqref="B4"/>
    </sheetView>
  </sheetViews>
  <sheetFormatPr defaultRowHeight="15" x14ac:dyDescent="0.25"/>
  <sheetData>
    <row r="1" spans="1:6" x14ac:dyDescent="0.25">
      <c r="B1" t="s">
        <v>25</v>
      </c>
      <c r="C1" t="s">
        <v>26</v>
      </c>
    </row>
    <row r="2" spans="1:6" x14ac:dyDescent="0.25">
      <c r="A2" t="s">
        <v>27</v>
      </c>
      <c r="B2" t="s">
        <v>28</v>
      </c>
      <c r="C2" t="s">
        <v>28</v>
      </c>
      <c r="D2" t="b">
        <f>B2=C2</f>
        <v>1</v>
      </c>
      <c r="E2">
        <f>COUNTIF(D2:D16,"True")</f>
        <v>13</v>
      </c>
      <c r="F2">
        <f>E2/COUNTA(D2:D16)*100</f>
        <v>86.666666666666671</v>
      </c>
    </row>
    <row r="3" spans="1:6" x14ac:dyDescent="0.25">
      <c r="A3" t="s">
        <v>29</v>
      </c>
      <c r="B3" t="s">
        <v>28</v>
      </c>
      <c r="C3" t="s">
        <v>28</v>
      </c>
      <c r="D3" t="b">
        <f t="shared" ref="D3:D16" si="0">B3=C3</f>
        <v>1</v>
      </c>
    </row>
    <row r="4" spans="1:6" x14ac:dyDescent="0.25">
      <c r="A4" t="s">
        <v>30</v>
      </c>
      <c r="B4" t="s">
        <v>28</v>
      </c>
      <c r="C4" t="s">
        <v>28</v>
      </c>
      <c r="D4" t="b">
        <f t="shared" si="0"/>
        <v>1</v>
      </c>
    </row>
    <row r="5" spans="1:6" x14ac:dyDescent="0.25">
      <c r="A5" t="s">
        <v>31</v>
      </c>
      <c r="B5" t="s">
        <v>28</v>
      </c>
      <c r="C5" t="s">
        <v>28</v>
      </c>
      <c r="D5" t="b">
        <f t="shared" si="0"/>
        <v>1</v>
      </c>
    </row>
    <row r="6" spans="1:6" x14ac:dyDescent="0.25">
      <c r="A6" t="s">
        <v>32</v>
      </c>
      <c r="B6" t="s">
        <v>28</v>
      </c>
      <c r="C6" t="s">
        <v>28</v>
      </c>
      <c r="D6" t="b">
        <f t="shared" si="0"/>
        <v>1</v>
      </c>
    </row>
    <row r="7" spans="1:6" x14ac:dyDescent="0.25">
      <c r="A7" t="s">
        <v>33</v>
      </c>
      <c r="B7" t="s">
        <v>28</v>
      </c>
      <c r="C7" t="s">
        <v>28</v>
      </c>
      <c r="D7" t="b">
        <f t="shared" si="0"/>
        <v>1</v>
      </c>
    </row>
    <row r="8" spans="1:6" x14ac:dyDescent="0.25">
      <c r="A8" t="s">
        <v>34</v>
      </c>
      <c r="B8" t="s">
        <v>28</v>
      </c>
      <c r="C8" t="s">
        <v>28</v>
      </c>
      <c r="D8" t="b">
        <f t="shared" si="0"/>
        <v>1</v>
      </c>
    </row>
    <row r="9" spans="1:6" x14ac:dyDescent="0.25">
      <c r="A9" t="s">
        <v>35</v>
      </c>
      <c r="B9" t="s">
        <v>28</v>
      </c>
      <c r="C9" t="s">
        <v>28</v>
      </c>
      <c r="D9" t="b">
        <f t="shared" si="0"/>
        <v>1</v>
      </c>
    </row>
    <row r="10" spans="1:6" x14ac:dyDescent="0.25">
      <c r="A10" t="s">
        <v>36</v>
      </c>
      <c r="B10" t="s">
        <v>28</v>
      </c>
      <c r="C10" t="s">
        <v>28</v>
      </c>
      <c r="D10" t="b">
        <f t="shared" si="0"/>
        <v>1</v>
      </c>
    </row>
    <row r="11" spans="1:6" x14ac:dyDescent="0.25">
      <c r="A11" t="s">
        <v>37</v>
      </c>
      <c r="B11" t="s">
        <v>28</v>
      </c>
      <c r="C11" t="s">
        <v>28</v>
      </c>
      <c r="D11" t="b">
        <f t="shared" si="0"/>
        <v>1</v>
      </c>
    </row>
    <row r="12" spans="1:6" x14ac:dyDescent="0.25">
      <c r="A12" t="s">
        <v>38</v>
      </c>
      <c r="B12" t="s">
        <v>28</v>
      </c>
      <c r="C12" t="s">
        <v>28</v>
      </c>
      <c r="D12" t="b">
        <f t="shared" si="0"/>
        <v>1</v>
      </c>
    </row>
    <row r="13" spans="1:6" x14ac:dyDescent="0.25">
      <c r="A13" t="s">
        <v>39</v>
      </c>
      <c r="B13" t="s">
        <v>40</v>
      </c>
      <c r="C13" t="s">
        <v>40</v>
      </c>
      <c r="D13" t="b">
        <f t="shared" si="0"/>
        <v>1</v>
      </c>
    </row>
    <row r="14" spans="1:6" x14ac:dyDescent="0.25">
      <c r="A14" t="s">
        <v>41</v>
      </c>
      <c r="B14" t="s">
        <v>28</v>
      </c>
      <c r="C14" t="s">
        <v>28</v>
      </c>
      <c r="D14" t="b">
        <f t="shared" si="0"/>
        <v>1</v>
      </c>
    </row>
    <row r="15" spans="1:6" x14ac:dyDescent="0.25">
      <c r="A15" t="s">
        <v>42</v>
      </c>
      <c r="B15" t="s">
        <v>43</v>
      </c>
      <c r="C15" t="s">
        <v>28</v>
      </c>
      <c r="D15" t="b">
        <f t="shared" si="0"/>
        <v>0</v>
      </c>
    </row>
    <row r="16" spans="1:6" x14ac:dyDescent="0.25">
      <c r="A16" t="s">
        <v>44</v>
      </c>
      <c r="B16" t="s">
        <v>45</v>
      </c>
      <c r="C16" t="s">
        <v>28</v>
      </c>
      <c r="D16" t="b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School </vt:lpstr>
      <vt:lpstr>Block </vt:lpstr>
      <vt:lpstr>District </vt:lpstr>
      <vt:lpstr>State </vt:lpstr>
      <vt:lpstr>Summary Reference</vt:lpstr>
      <vt:lpstr>School Reference</vt:lpstr>
      <vt:lpstr>Block</vt:lpstr>
      <vt:lpstr>District</vt:lpstr>
      <vt:lpstr>State</vt:lpstr>
      <vt:lpstr>Same Grade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2022-09-16T08:24:35Z</dcterms:created>
  <dcterms:modified xsi:type="dcterms:W3CDTF">2022-11-23T07:39:00Z</dcterms:modified>
</cp:coreProperties>
</file>