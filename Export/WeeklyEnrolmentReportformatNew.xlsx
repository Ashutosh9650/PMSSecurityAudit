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60" windowHeight="7470"/>
  </bookViews>
  <sheets>
    <sheet name="OVERALL" sheetId="1" r:id="rId1"/>
    <sheet name="RAJASTHAN" sheetId="2" r:id="rId2"/>
    <sheet name="MADHYA PRADESH" sheetId="3" r:id="rId3"/>
    <sheet name="UTTAR PRADESH" sheetId="4" r:id="rId4"/>
    <sheet name=" WEEK - Backup" sheetId="5" state="hidden" r:id="rId5"/>
    <sheet name="WEEKLY" sheetId="6" r:id="rId6"/>
    <sheet name="YTD - Target" sheetId="7" state="hidden" r:id="rId7"/>
    <sheet name="TRENDS" sheetId="8" state="hidden" r:id="rId8"/>
    <sheet name="DEFINITIONS" sheetId="9" r:id="rId9"/>
    <sheet name="Trend2" sheetId="10" state="hidden" r:id="rId10"/>
  </sheets>
  <definedNames>
    <definedName name="Z_235856BE_74DB_4E3F_8B4F_7A0562678546_.wvu.FilterData" localSheetId="4" hidden="1">' WEEK - Backup'!$A$3:$AS$123</definedName>
    <definedName name="Z_235856BE_74DB_4E3F_8B4F_7A0562678546_.wvu.FilterData" localSheetId="5" hidden="1">WEEKLY!$A$3:$BF$3</definedName>
  </definedNames>
  <calcPr calcId="152511"/>
  <customWorkbookViews>
    <customWorkbookView name="Filter 1" guid="{235856BE-74DB-4E3F-8B4F-7A0562678546}" maximized="1" windowWidth="0" windowHeight="0" activeSheetId="0"/>
  </customWorkbookViews>
  <pivotCaches>
    <pivotCache cacheId="289" r:id="rId11"/>
  </pivotCaches>
  <extLst>
    <ext uri="GoogleSheetsCustomDataVersion1">
      <go:sheetsCustomData xmlns:go="http://customooxmlschemas.google.com/" r:id="rId15" roundtripDataSignature="AMtx7mjlZwjjRf/70OYKqSklnBZfl+Pl6A=="/>
    </ext>
  </extLst>
</workbook>
</file>

<file path=xl/calcChain.xml><?xml version="1.0" encoding="utf-8"?>
<calcChain xmlns="http://schemas.openxmlformats.org/spreadsheetml/2006/main">
  <c r="H40" i="4" l="1"/>
  <c r="E31" i="4"/>
  <c r="H30" i="4"/>
  <c r="H27" i="4"/>
  <c r="H26" i="4"/>
  <c r="H25" i="4"/>
  <c r="H22" i="4"/>
  <c r="H21" i="4"/>
  <c r="H20" i="4"/>
  <c r="E15" i="4"/>
  <c r="H14" i="4"/>
  <c r="H11" i="4"/>
  <c r="H10" i="4"/>
  <c r="H9" i="4"/>
  <c r="H6" i="4"/>
  <c r="B6" i="4"/>
  <c r="H5" i="4"/>
  <c r="H4" i="4"/>
  <c r="E16" i="3"/>
  <c r="H14" i="3"/>
  <c r="G12" i="3"/>
  <c r="H11" i="3"/>
  <c r="H10" i="3"/>
  <c r="H9" i="3"/>
  <c r="G8" i="3"/>
  <c r="G7" i="3"/>
  <c r="H6" i="3"/>
  <c r="H5" i="3"/>
  <c r="H4" i="3"/>
  <c r="G16" i="2"/>
  <c r="E16" i="2"/>
  <c r="H15" i="2"/>
  <c r="H14" i="2"/>
  <c r="H11" i="2"/>
  <c r="D11" i="2"/>
  <c r="H10" i="2"/>
  <c r="D10" i="2"/>
  <c r="H9" i="2"/>
  <c r="H7" i="2"/>
  <c r="H5" i="2"/>
  <c r="D5" i="2"/>
  <c r="H4" i="2"/>
  <c r="H3" i="2"/>
  <c r="H14" i="1"/>
  <c r="F14" i="1"/>
  <c r="D14" i="1"/>
  <c r="E15" i="1" s="1"/>
  <c r="F11" i="1"/>
  <c r="D11" i="1"/>
  <c r="C11" i="1"/>
  <c r="H11" i="1" s="1"/>
  <c r="B11" i="1"/>
  <c r="H10" i="1"/>
  <c r="F10" i="1"/>
  <c r="D10" i="1"/>
  <c r="C10" i="1"/>
  <c r="B10" i="1"/>
  <c r="F9" i="1"/>
  <c r="D9" i="1"/>
  <c r="C9" i="1"/>
  <c r="H9" i="1" s="1"/>
  <c r="B9" i="1"/>
  <c r="F6" i="1"/>
  <c r="D6" i="1"/>
  <c r="C6" i="1"/>
  <c r="H6" i="1" s="1"/>
  <c r="B6" i="1"/>
  <c r="H5" i="1"/>
  <c r="C5" i="1"/>
  <c r="B5" i="1"/>
  <c r="C4" i="1"/>
  <c r="H4" i="1" s="1"/>
  <c r="B4" i="1"/>
</calcChain>
</file>

<file path=xl/sharedStrings.xml><?xml version="1.0" encoding="utf-8"?>
<sst xmlns="http://schemas.openxmlformats.org/spreadsheetml/2006/main" count="1544" uniqueCount="188">
  <si>
    <t>Performance till Current Week</t>
  </si>
  <si>
    <t>OUTCOME</t>
  </si>
  <si>
    <t>Annual TGT- Original</t>
  </si>
  <si>
    <t>REVISED-ANNUAL TGT [H2 Plan]</t>
  </si>
  <si>
    <t>YTD Tgt</t>
  </si>
  <si>
    <t>YTD ACH</t>
  </si>
  <si>
    <t>Weekly tgt</t>
  </si>
  <si>
    <t>Weekly ach.</t>
  </si>
  <si>
    <t>BALANCE TGT</t>
  </si>
  <si>
    <t>ENROLMENT</t>
  </si>
  <si>
    <t>5 - 6 Years</t>
  </si>
  <si>
    <t>7- 14 Years</t>
  </si>
  <si>
    <t xml:space="preserve"> Overall: 5-14 Years</t>
  </si>
  <si>
    <t>Achvt. %</t>
  </si>
  <si>
    <t>RETENTION</t>
  </si>
  <si>
    <t># Girls Leaders- BS formation</t>
  </si>
  <si>
    <t># SMC Members Trained</t>
  </si>
  <si>
    <t>#Retention Data Verification</t>
  </si>
  <si>
    <t>LEARNING</t>
  </si>
  <si>
    <t># Learning Beneficiaries-PO</t>
  </si>
  <si>
    <t>Source</t>
  </si>
  <si>
    <t>Ops</t>
  </si>
  <si>
    <t>PMS</t>
  </si>
  <si>
    <t>-</t>
  </si>
  <si>
    <t>RAJ : 5-14 Years</t>
  </si>
  <si>
    <t>Achvt %</t>
  </si>
  <si>
    <t>15-18 Years [RSOS]</t>
  </si>
  <si>
    <t>7885 [5000-RSOS; 2885-Mainstream]</t>
  </si>
  <si>
    <t># Girls Leaders</t>
  </si>
  <si>
    <t># Learning Beneficiaries-AGP</t>
  </si>
  <si>
    <t>PSU</t>
  </si>
  <si>
    <t>District</t>
  </si>
  <si>
    <t>Enrolment (YTD)</t>
  </si>
  <si>
    <t>Retention</t>
  </si>
  <si>
    <t xml:space="preserve">Learning </t>
  </si>
  <si>
    <t>Overall</t>
  </si>
  <si>
    <t xml:space="preserve">Ach vs Tgt </t>
  </si>
  <si>
    <t xml:space="preserve">High Risk Errors </t>
  </si>
  <si>
    <t>D2D Enrolments per Cluster</t>
  </si>
  <si>
    <t>%D2D</t>
  </si>
  <si>
    <t>Ach vs Tgt (YTD)
(Data collection+SMC+BSF+GLT)</t>
  </si>
  <si>
    <t>Quality Assessment</t>
  </si>
  <si>
    <t>Ach vs Tgt (YTD)</t>
  </si>
  <si>
    <t>District RAG Status</t>
  </si>
  <si>
    <t>source from PMS &amp; targets provided by Ops</t>
  </si>
  <si>
    <t>Source from CV data</t>
  </si>
  <si>
    <t>Average D2D enrolments per FC/cluster</t>
  </si>
  <si>
    <t>% of D2D enrolments (with SR number And CIOOSG)</t>
  </si>
  <si>
    <t>Spot check assessment</t>
  </si>
  <si>
    <t>source from CRO data</t>
  </si>
  <si>
    <t>Derive from performance</t>
  </si>
  <si>
    <t>AJMER</t>
  </si>
  <si>
    <t>Green</t>
  </si>
  <si>
    <t>Amber</t>
  </si>
  <si>
    <t>BANSWARA</t>
  </si>
  <si>
    <t xml:space="preserve">Green </t>
  </si>
  <si>
    <t>BHILWARA</t>
  </si>
  <si>
    <t>NA</t>
  </si>
  <si>
    <t>BUNDI</t>
  </si>
  <si>
    <t>JALORE</t>
  </si>
  <si>
    <t>Red</t>
  </si>
  <si>
    <t>JHALAWAR</t>
  </si>
  <si>
    <t>RAJSAMAND</t>
  </si>
  <si>
    <t>SALUMBER</t>
  </si>
  <si>
    <t>SIROHI</t>
  </si>
  <si>
    <t>UDAIPUR</t>
  </si>
  <si>
    <t>Total</t>
  </si>
  <si>
    <t>High-risk errors</t>
  </si>
  <si>
    <t>D2D/ CIOOSG enrolments</t>
  </si>
  <si>
    <t>Less than 60%</t>
  </si>
  <si>
    <t>10%+</t>
  </si>
  <si>
    <t>less than 50</t>
  </si>
  <si>
    <t>less than 60%</t>
  </si>
  <si>
    <t>Significant improvement required</t>
  </si>
  <si>
    <t>Overall star rating 1 or 2</t>
  </si>
  <si>
    <t>Reds in 2 out of 3 outcomes (E,R,L)</t>
  </si>
  <si>
    <t>60-80%</t>
  </si>
  <si>
    <t>8-10%</t>
  </si>
  <si>
    <t>50 to 80</t>
  </si>
  <si>
    <t>60-90%</t>
  </si>
  <si>
    <t>Some improvement required</t>
  </si>
  <si>
    <t xml:space="preserve">Overall star rating 3 </t>
  </si>
  <si>
    <t>Reds in 1 out of 3 outcomes</t>
  </si>
  <si>
    <t>80%+</t>
  </si>
  <si>
    <t>less than 8%</t>
  </si>
  <si>
    <t>greater than 80</t>
  </si>
  <si>
    <t>&gt;90%</t>
  </si>
  <si>
    <t>Mostly high quality</t>
  </si>
  <si>
    <t>Overall star rating 4 or 5</t>
  </si>
  <si>
    <t>No reds</t>
  </si>
  <si>
    <t>YTD target</t>
  </si>
  <si>
    <t>MP: 5-14 Years</t>
  </si>
  <si>
    <t>source from CV data</t>
  </si>
  <si>
    <t>ALIRAJPUR</t>
  </si>
  <si>
    <t>BARWANI</t>
  </si>
  <si>
    <t>DHAR</t>
  </si>
  <si>
    <t>JHABUA</t>
  </si>
  <si>
    <t>KHALWA</t>
  </si>
  <si>
    <t>KHANDWA</t>
  </si>
  <si>
    <t>Performance till current week</t>
  </si>
  <si>
    <t>YTD Target</t>
  </si>
  <si>
    <t>UP : 5-14 Years</t>
  </si>
  <si>
    <t>1,12,980</t>
  </si>
  <si>
    <t>Performance till current week (Sidhi)</t>
  </si>
  <si>
    <t>CHITRAKOOT</t>
  </si>
  <si>
    <t>FATEHPUR</t>
  </si>
  <si>
    <t>PRAYAGRAJ</t>
  </si>
  <si>
    <t>ROBERTSGANJ</t>
  </si>
  <si>
    <t>SIDHI</t>
  </si>
  <si>
    <t>Week-1 Target</t>
  </si>
  <si>
    <t>Week-1 Ach.</t>
  </si>
  <si>
    <t>Week-2 Target</t>
  </si>
  <si>
    <t>Week-2 Ach.</t>
  </si>
  <si>
    <t>Week-3 Target</t>
  </si>
  <si>
    <t>Week-3 Ach.</t>
  </si>
  <si>
    <t>Week-4 Target</t>
  </si>
  <si>
    <t>Week-4 Ach.</t>
  </si>
  <si>
    <t>State</t>
  </si>
  <si>
    <t>Outcome</t>
  </si>
  <si>
    <t>Manual</t>
  </si>
  <si>
    <t>Rajasthan</t>
  </si>
  <si>
    <t>Enrolment 5-14</t>
  </si>
  <si>
    <t xml:space="preserve"># Learning Beneficiaries-PO </t>
  </si>
  <si>
    <t>Pending</t>
  </si>
  <si>
    <t>MP</t>
  </si>
  <si>
    <t>Alirajpur</t>
  </si>
  <si>
    <t>Barwani</t>
  </si>
  <si>
    <t>Dhar</t>
  </si>
  <si>
    <t>Jhabua</t>
  </si>
  <si>
    <t>Khalwa</t>
  </si>
  <si>
    <t>Khandwa</t>
  </si>
  <si>
    <t>Sidhi</t>
  </si>
  <si>
    <t>UP</t>
  </si>
  <si>
    <t>YTD achv. Till Nov</t>
  </si>
  <si>
    <t>Remaining KMI</t>
  </si>
  <si>
    <t>MADHYA PRADESH</t>
  </si>
  <si>
    <t>UTTAR PRADESH</t>
  </si>
  <si>
    <t>Weekly Target</t>
  </si>
  <si>
    <t>Grand Total</t>
  </si>
  <si>
    <t>SUM of Weekly Target</t>
  </si>
  <si>
    <t>Sum of YTD Target</t>
  </si>
  <si>
    <t>Enrolment</t>
  </si>
  <si>
    <t>Weekly Achievment against target</t>
  </si>
  <si>
    <t>Week 1</t>
  </si>
  <si>
    <t>Week 2</t>
  </si>
  <si>
    <t xml:space="preserve">Week 3 </t>
  </si>
  <si>
    <t>Week 4</t>
  </si>
  <si>
    <t>Week 5</t>
  </si>
  <si>
    <t>Week 6</t>
  </si>
  <si>
    <t>Insight</t>
  </si>
  <si>
    <t>D1</t>
  </si>
  <si>
    <t>D1 is consistently underperforming. Estimates may be unrealistic or support may be required.</t>
  </si>
  <si>
    <t>D2</t>
  </si>
  <si>
    <t>D2 performance is erratic and no pattern visible.</t>
  </si>
  <si>
    <t>Quality - Trends in Quality Assessment (High-risk errors)</t>
  </si>
  <si>
    <t>Week 3</t>
  </si>
  <si>
    <t>Action Recommended</t>
  </si>
  <si>
    <t>YTD</t>
  </si>
  <si>
    <t>D1 quality assessment steadily getting worse</t>
  </si>
  <si>
    <t>#of matching errors is of concern. Analyse by FC and provide support to improve</t>
  </si>
  <si>
    <t>D2 quality assessment steadily getting better</t>
  </si>
  <si>
    <t>D3</t>
  </si>
  <si>
    <t>D3 quality is within acceptable thresholds but could be improved</t>
  </si>
  <si>
    <t>Cut off date</t>
  </si>
  <si>
    <t>YTD-Till 23th Jan 2021, Weekly- 17 Jan 2022 to 23rd Jan 2022</t>
  </si>
  <si>
    <t>Enrollment</t>
  </si>
  <si>
    <t># OOSG 5-14, class 1-8, current program year, complete SR but only D2D,GSA and CIOOSG.</t>
  </si>
  <si>
    <t># Girl Leaders</t>
  </si>
  <si>
    <t># All registered girls where Bal Sabha Formation status is Bal Sabha Formed</t>
  </si>
  <si>
    <t># Members trained and activity approved by IO + Community Level SMC Meeting's Member</t>
  </si>
  <si>
    <t>Retention Data Collection</t>
  </si>
  <si>
    <t># Verified OOSC</t>
  </si>
  <si>
    <t>Retention%</t>
  </si>
  <si>
    <t># Verified OOSC/Targeted OOSC</t>
  </si>
  <si>
    <t>Learning Beneficiaries</t>
  </si>
  <si>
    <t># Beneficiaries ( both girls and boys) who attended at least one CBL session in either Camp 1 or 2 or both. Weekly from Session 1 Attendance(last 7 Days)</t>
  </si>
  <si>
    <t>CBL Conversion%</t>
  </si>
  <si>
    <t># Learning beneficiaries who got enrolled this program year against D2D/CIOOSG # Learning beneficiaries</t>
  </si>
  <si>
    <t>% D2D Enrolments</t>
  </si>
  <si>
    <t># (D2D + CIOOSG + GSA) against  # OOSG whose matching is not pending- Quality Enrolment Girls</t>
  </si>
  <si>
    <t>Where age: 5-14, class: 1-8, SR: Complete, Enrolment Year: Current program year</t>
  </si>
  <si>
    <t xml:space="preserve">D2D Enrolments per FC            </t>
  </si>
  <si>
    <t> Average # (D2D + CIOOSG + GSA) Girls enrolments per FC</t>
  </si>
  <si>
    <t/>
  </si>
  <si>
    <t>Total SUM of Weekly Target</t>
  </si>
  <si>
    <t>Total Sum of YTD Target</t>
  </si>
  <si>
    <t>Total Target</t>
  </si>
  <si>
    <t>Total 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</si>
</sst>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_-;\-* #,##0_-;_-* &quot;-&quot;??_-;_-@"/>
    <numFmt numFmtId="165" formatCode="_-* #,##0.00_-;\-* #,##0.00_-;_-* &quot;-&quot;??_-;_-@"/>
    <numFmt numFmtId="166" formatCode="mmm\-d"/>
  </numFmts>
  <fonts count="1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theme="1"/>
      <name val="Calibri"/>
    </font>
    <font>
      <b/>
      <i/>
      <sz val="11"/>
      <color rgb="FF000000"/>
      <name val="Calibri"/>
    </font>
    <font>
      <sz val="11"/>
      <color rgb="FFFF0000"/>
      <name val="Calibri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</fills>
  <borders count="6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CC2E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8">
    <xf numFmtId="0" fontId="0" fillId="0" borderId="0" xfId="0" applyFont="1" applyAlignment="1"/>
    <xf numFmtId="0" fontId="0" fillId="0" borderId="0" xfId="0" applyFont="1"/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left"/>
    </xf>
    <xf numFmtId="0" fontId="0" fillId="4" borderId="4" xfId="0" applyFont="1" applyFill="1" applyBorder="1" applyAlignment="1">
      <alignment horizontal="center" vertical="top"/>
    </xf>
    <xf numFmtId="0" fontId="0" fillId="4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164" fontId="6" fillId="0" borderId="4" xfId="0" applyNumberFormat="1" applyFont="1" applyBorder="1" applyAlignment="1">
      <alignment horizontal="center" vertical="top"/>
    </xf>
    <xf numFmtId="164" fontId="0" fillId="5" borderId="4" xfId="0" applyNumberFormat="1" applyFont="1" applyFill="1" applyBorder="1"/>
    <xf numFmtId="164" fontId="6" fillId="0" borderId="4" xfId="0" applyNumberFormat="1" applyFont="1" applyBorder="1" applyAlignment="1">
      <alignment horizontal="center"/>
    </xf>
    <xf numFmtId="164" fontId="0" fillId="5" borderId="5" xfId="0" applyNumberFormat="1" applyFont="1" applyFill="1" applyBorder="1"/>
    <xf numFmtId="0" fontId="5" fillId="6" borderId="4" xfId="0" applyFont="1" applyFill="1" applyBorder="1" applyAlignment="1">
      <alignment horizontal="left"/>
    </xf>
    <xf numFmtId="164" fontId="6" fillId="6" borderId="4" xfId="0" applyNumberFormat="1" applyFont="1" applyFill="1" applyBorder="1" applyAlignment="1">
      <alignment horizontal="center" vertical="top"/>
    </xf>
    <xf numFmtId="9" fontId="6" fillId="6" borderId="4" xfId="0" applyNumberFormat="1" applyFont="1" applyFill="1" applyBorder="1" applyAlignment="1">
      <alignment horizontal="right" vertical="top"/>
    </xf>
    <xf numFmtId="164" fontId="6" fillId="6" borderId="4" xfId="0" applyNumberFormat="1" applyFont="1" applyFill="1" applyBorder="1" applyAlignment="1">
      <alignment horizontal="center"/>
    </xf>
    <xf numFmtId="9" fontId="6" fillId="6" borderId="4" xfId="0" applyNumberFormat="1" applyFont="1" applyFill="1" applyBorder="1" applyAlignment="1">
      <alignment horizontal="right"/>
    </xf>
    <xf numFmtId="164" fontId="0" fillId="4" borderId="4" xfId="0" applyNumberFormat="1" applyFont="1" applyFill="1" applyBorder="1" applyAlignment="1">
      <alignment horizontal="center" vertical="top"/>
    </xf>
    <xf numFmtId="164" fontId="0" fillId="4" borderId="4" xfId="0" applyNumberFormat="1" applyFont="1" applyFill="1" applyBorder="1" applyAlignment="1">
      <alignment horizontal="center"/>
    </xf>
    <xf numFmtId="9" fontId="0" fillId="4" borderId="4" xfId="0" applyNumberFormat="1" applyFont="1" applyFill="1" applyBorder="1"/>
    <xf numFmtId="164" fontId="6" fillId="5" borderId="4" xfId="0" applyNumberFormat="1" applyFont="1" applyFill="1" applyBorder="1" applyAlignment="1">
      <alignment horizontal="center" vertical="top"/>
    </xf>
    <xf numFmtId="9" fontId="0" fillId="6" borderId="4" xfId="0" applyNumberFormat="1" applyFont="1" applyFill="1" applyBorder="1"/>
    <xf numFmtId="9" fontId="6" fillId="4" borderId="4" xfId="0" applyNumberFormat="1" applyFont="1" applyFill="1" applyBorder="1" applyAlignment="1">
      <alignment horizontal="center" vertical="top"/>
    </xf>
    <xf numFmtId="0" fontId="5" fillId="0" borderId="6" xfId="0" applyFont="1" applyBorder="1" applyAlignment="1">
      <alignment horizontal="left"/>
    </xf>
    <xf numFmtId="164" fontId="6" fillId="0" borderId="6" xfId="0" applyNumberFormat="1" applyFont="1" applyBorder="1" applyAlignment="1">
      <alignment horizontal="center" vertical="top"/>
    </xf>
    <xf numFmtId="164" fontId="0" fillId="5" borderId="7" xfId="0" applyNumberFormat="1" applyFont="1" applyFill="1" applyBorder="1"/>
    <xf numFmtId="164" fontId="6" fillId="0" borderId="6" xfId="0" applyNumberFormat="1" applyFont="1" applyBorder="1" applyAlignment="1">
      <alignment horizontal="center"/>
    </xf>
    <xf numFmtId="0" fontId="7" fillId="6" borderId="4" xfId="0" applyFont="1" applyFill="1" applyBorder="1"/>
    <xf numFmtId="9" fontId="1" fillId="6" borderId="4" xfId="0" applyNumberFormat="1" applyFont="1" applyFill="1" applyBorder="1"/>
    <xf numFmtId="0" fontId="0" fillId="6" borderId="4" xfId="0" applyFont="1" applyFill="1" applyBorder="1"/>
    <xf numFmtId="0" fontId="8" fillId="0" borderId="8" xfId="0" applyFont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164" fontId="0" fillId="0" borderId="0" xfId="0" applyNumberFormat="1" applyFont="1"/>
    <xf numFmtId="0" fontId="6" fillId="0" borderId="0" xfId="0" applyFont="1"/>
    <xf numFmtId="0" fontId="1" fillId="4" borderId="4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5" borderId="12" xfId="0" applyFont="1" applyFill="1" applyBorder="1"/>
    <xf numFmtId="164" fontId="6" fillId="5" borderId="4" xfId="0" applyNumberFormat="1" applyFont="1" applyFill="1" applyBorder="1" applyAlignment="1">
      <alignment horizontal="center"/>
    </xf>
    <xf numFmtId="0" fontId="0" fillId="5" borderId="4" xfId="0" applyFont="1" applyFill="1" applyBorder="1"/>
    <xf numFmtId="164" fontId="5" fillId="0" borderId="4" xfId="0" applyNumberFormat="1" applyFont="1" applyBorder="1" applyAlignment="1">
      <alignment horizontal="center" vertical="top"/>
    </xf>
    <xf numFmtId="0" fontId="0" fillId="5" borderId="13" xfId="0" applyFont="1" applyFill="1" applyBorder="1"/>
    <xf numFmtId="164" fontId="6" fillId="0" borderId="4" xfId="0" applyNumberFormat="1" applyFont="1" applyBorder="1" applyAlignment="1">
      <alignment horizontal="center"/>
    </xf>
    <xf numFmtId="9" fontId="5" fillId="6" borderId="4" xfId="0" applyNumberFormat="1" applyFont="1" applyFill="1" applyBorder="1" applyAlignment="1">
      <alignment horizontal="center"/>
    </xf>
    <xf numFmtId="164" fontId="0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 vertical="top"/>
    </xf>
    <xf numFmtId="164" fontId="0" fillId="5" borderId="13" xfId="0" applyNumberFormat="1" applyFont="1" applyFill="1" applyBorder="1"/>
    <xf numFmtId="9" fontId="0" fillId="4" borderId="4" xfId="0" applyNumberFormat="1" applyFont="1" applyFill="1" applyBorder="1" applyAlignment="1">
      <alignment horizontal="right" vertical="top"/>
    </xf>
    <xf numFmtId="0" fontId="5" fillId="0" borderId="4" xfId="0" applyFont="1" applyBorder="1" applyAlignment="1">
      <alignment horizontal="left" wrapText="1"/>
    </xf>
    <xf numFmtId="164" fontId="6" fillId="5" borderId="4" xfId="0" applyNumberFormat="1" applyFont="1" applyFill="1" applyBorder="1" applyAlignment="1">
      <alignment horizontal="center"/>
    </xf>
    <xf numFmtId="164" fontId="0" fillId="5" borderId="4" xfId="0" applyNumberFormat="1" applyFont="1" applyFill="1" applyBorder="1" applyAlignment="1"/>
    <xf numFmtId="9" fontId="5" fillId="6" borderId="4" xfId="0" applyNumberFormat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wrapText="1"/>
    </xf>
    <xf numFmtId="0" fontId="1" fillId="7" borderId="18" xfId="0" applyFont="1" applyFill="1" applyBorder="1" applyAlignment="1">
      <alignment wrapText="1"/>
    </xf>
    <xf numFmtId="0" fontId="1" fillId="7" borderId="19" xfId="0" applyFont="1" applyFill="1" applyBorder="1" applyAlignment="1">
      <alignment horizontal="center" wrapText="1"/>
    </xf>
    <xf numFmtId="0" fontId="1" fillId="7" borderId="20" xfId="0" applyFont="1" applyFill="1" applyBorder="1" applyAlignment="1">
      <alignment horizontal="center" wrapText="1"/>
    </xf>
    <xf numFmtId="0" fontId="1" fillId="7" borderId="21" xfId="0" applyFont="1" applyFill="1" applyBorder="1" applyAlignment="1">
      <alignment horizontal="center" wrapText="1"/>
    </xf>
    <xf numFmtId="0" fontId="0" fillId="8" borderId="22" xfId="0" applyFont="1" applyFill="1" applyBorder="1" applyAlignment="1">
      <alignment vertical="center" wrapText="1"/>
    </xf>
    <xf numFmtId="0" fontId="0" fillId="8" borderId="23" xfId="0" applyFont="1" applyFill="1" applyBorder="1" applyAlignment="1">
      <alignment horizontal="center" vertical="center" wrapText="1"/>
    </xf>
    <xf numFmtId="0" fontId="0" fillId="8" borderId="24" xfId="0" applyFont="1" applyFill="1" applyBorder="1" applyAlignment="1">
      <alignment horizontal="center" vertical="center" wrapText="1"/>
    </xf>
    <xf numFmtId="0" fontId="0" fillId="8" borderId="25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left"/>
    </xf>
    <xf numFmtId="0" fontId="0" fillId="0" borderId="22" xfId="0" applyFont="1" applyBorder="1" applyAlignment="1">
      <alignment wrapText="1"/>
    </xf>
    <xf numFmtId="9" fontId="1" fillId="10" borderId="27" xfId="0" applyNumberFormat="1" applyFont="1" applyFill="1" applyBorder="1" applyAlignment="1">
      <alignment wrapText="1"/>
    </xf>
    <xf numFmtId="9" fontId="1" fillId="10" borderId="4" xfId="0" applyNumberFormat="1" applyFont="1" applyFill="1" applyBorder="1" applyAlignment="1">
      <alignment horizontal="center" wrapText="1"/>
    </xf>
    <xf numFmtId="1" fontId="0" fillId="10" borderId="28" xfId="0" applyNumberFormat="1" applyFont="1" applyFill="1" applyBorder="1" applyAlignment="1">
      <alignment horizontal="center" wrapText="1"/>
    </xf>
    <xf numFmtId="9" fontId="0" fillId="11" borderId="23" xfId="0" applyNumberFormat="1" applyFont="1" applyFill="1" applyBorder="1" applyAlignment="1">
      <alignment horizontal="right" wrapText="1"/>
    </xf>
    <xf numFmtId="0" fontId="1" fillId="10" borderId="4" xfId="0" applyFont="1" applyFill="1" applyBorder="1" applyAlignment="1">
      <alignment horizontal="center" wrapText="1"/>
    </xf>
    <xf numFmtId="9" fontId="1" fillId="10" borderId="4" xfId="0" applyNumberFormat="1" applyFont="1" applyFill="1" applyBorder="1" applyAlignment="1">
      <alignment wrapText="1"/>
    </xf>
    <xf numFmtId="0" fontId="1" fillId="10" borderId="4" xfId="0" applyFont="1" applyFill="1" applyBorder="1" applyAlignment="1">
      <alignment horizontal="center" wrapText="1"/>
    </xf>
    <xf numFmtId="0" fontId="6" fillId="0" borderId="0" xfId="0" applyFont="1" applyAlignment="1">
      <alignment horizontal="right"/>
    </xf>
    <xf numFmtId="0" fontId="1" fillId="11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9" fontId="0" fillId="2" borderId="23" xfId="0" applyNumberFormat="1" applyFont="1" applyFill="1" applyBorder="1" applyAlignment="1">
      <alignment horizontal="right" wrapText="1"/>
    </xf>
    <xf numFmtId="9" fontId="1" fillId="0" borderId="4" xfId="0" applyNumberFormat="1" applyFont="1" applyBorder="1" applyAlignment="1">
      <alignment horizontal="center"/>
    </xf>
    <xf numFmtId="0" fontId="0" fillId="7" borderId="22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12" borderId="22" xfId="0" applyFont="1" applyFill="1" applyBorder="1" applyAlignment="1">
      <alignment horizontal="center" wrapText="1"/>
    </xf>
    <xf numFmtId="0" fontId="0" fillId="0" borderId="23" xfId="0" applyFont="1" applyBorder="1" applyAlignment="1">
      <alignment wrapText="1"/>
    </xf>
    <xf numFmtId="0" fontId="0" fillId="2" borderId="22" xfId="0" applyFont="1" applyFill="1" applyBorder="1" applyAlignment="1">
      <alignment horizontal="center" wrapText="1"/>
    </xf>
    <xf numFmtId="0" fontId="0" fillId="11" borderId="22" xfId="0" applyFont="1" applyFill="1" applyBorder="1" applyAlignment="1">
      <alignment horizontal="center" wrapText="1"/>
    </xf>
    <xf numFmtId="164" fontId="3" fillId="3" borderId="30" xfId="0" applyNumberFormat="1" applyFont="1" applyFill="1" applyBorder="1"/>
    <xf numFmtId="164" fontId="5" fillId="13" borderId="4" xfId="0" applyNumberFormat="1" applyFont="1" applyFill="1" applyBorder="1"/>
    <xf numFmtId="164" fontId="0" fillId="13" borderId="4" xfId="0" applyNumberFormat="1" applyFont="1" applyFill="1" applyBorder="1" applyAlignment="1">
      <alignment vertical="top"/>
    </xf>
    <xf numFmtId="164" fontId="0" fillId="13" borderId="4" xfId="0" applyNumberFormat="1" applyFont="1" applyFill="1" applyBorder="1"/>
    <xf numFmtId="164" fontId="5" fillId="0" borderId="4" xfId="0" applyNumberFormat="1" applyFont="1" applyBorder="1"/>
    <xf numFmtId="164" fontId="6" fillId="0" borderId="4" xfId="0" applyNumberFormat="1" applyFont="1" applyBorder="1" applyAlignment="1">
      <alignment vertical="top"/>
    </xf>
    <xf numFmtId="164" fontId="6" fillId="0" borderId="4" xfId="0" applyNumberFormat="1" applyFont="1" applyBorder="1"/>
    <xf numFmtId="164" fontId="6" fillId="0" borderId="4" xfId="0" applyNumberFormat="1" applyFont="1" applyBorder="1" applyAlignment="1">
      <alignment vertical="top"/>
    </xf>
    <xf numFmtId="9" fontId="0" fillId="13" borderId="4" xfId="0" applyNumberFormat="1" applyFont="1" applyFill="1" applyBorder="1"/>
    <xf numFmtId="164" fontId="0" fillId="0" borderId="4" xfId="0" applyNumberFormat="1" applyFont="1" applyBorder="1"/>
    <xf numFmtId="164" fontId="6" fillId="5" borderId="4" xfId="0" applyNumberFormat="1" applyFont="1" applyFill="1" applyBorder="1"/>
    <xf numFmtId="164" fontId="6" fillId="0" borderId="4" xfId="0" applyNumberFormat="1" applyFont="1" applyBorder="1" applyAlignment="1"/>
    <xf numFmtId="164" fontId="6" fillId="13" borderId="4" xfId="0" applyNumberFormat="1" applyFont="1" applyFill="1" applyBorder="1"/>
    <xf numFmtId="164" fontId="6" fillId="13" borderId="4" xfId="0" applyNumberFormat="1" applyFont="1" applyFill="1" applyBorder="1" applyAlignment="1">
      <alignment vertical="top"/>
    </xf>
    <xf numFmtId="164" fontId="5" fillId="0" borderId="6" xfId="0" applyNumberFormat="1" applyFont="1" applyBorder="1"/>
    <xf numFmtId="164" fontId="6" fillId="0" borderId="6" xfId="0" applyNumberFormat="1" applyFont="1" applyBorder="1" applyAlignment="1">
      <alignment vertical="top"/>
    </xf>
    <xf numFmtId="164" fontId="5" fillId="0" borderId="6" xfId="0" applyNumberFormat="1" applyFont="1" applyBorder="1" applyAlignment="1"/>
    <xf numFmtId="164" fontId="6" fillId="0" borderId="6" xfId="0" applyNumberFormat="1" applyFont="1" applyBorder="1" applyAlignment="1">
      <alignment vertical="top"/>
    </xf>
    <xf numFmtId="164" fontId="0" fillId="5" borderId="6" xfId="0" applyNumberFormat="1" applyFont="1" applyFill="1" applyBorder="1" applyAlignment="1"/>
    <xf numFmtId="164" fontId="6" fillId="0" borderId="6" xfId="0" applyNumberFormat="1" applyFont="1" applyBorder="1" applyAlignment="1">
      <alignment horizontal="center"/>
    </xf>
    <xf numFmtId="0" fontId="1" fillId="7" borderId="14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34" xfId="0" applyFont="1" applyBorder="1" applyAlignment="1">
      <alignment wrapText="1"/>
    </xf>
    <xf numFmtId="1" fontId="0" fillId="10" borderId="4" xfId="0" applyNumberFormat="1" applyFont="1" applyFill="1" applyBorder="1" applyAlignment="1">
      <alignment horizontal="center" wrapText="1"/>
    </xf>
    <xf numFmtId="9" fontId="0" fillId="11" borderId="4" xfId="0" applyNumberFormat="1" applyFont="1" applyFill="1" applyBorder="1" applyAlignment="1">
      <alignment horizontal="right" wrapText="1"/>
    </xf>
    <xf numFmtId="0" fontId="0" fillId="0" borderId="0" xfId="0" applyFont="1" applyAlignment="1">
      <alignment wrapText="1"/>
    </xf>
    <xf numFmtId="0" fontId="0" fillId="0" borderId="4" xfId="0" applyFont="1" applyBorder="1" applyAlignment="1">
      <alignment wrapText="1"/>
    </xf>
    <xf numFmtId="9" fontId="1" fillId="9" borderId="4" xfId="0" applyNumberFormat="1" applyFont="1" applyFill="1" applyBorder="1" applyAlignment="1">
      <alignment wrapText="1"/>
    </xf>
    <xf numFmtId="0" fontId="6" fillId="9" borderId="0" xfId="0" applyFont="1" applyFill="1" applyAlignment="1">
      <alignment horizontal="left"/>
    </xf>
    <xf numFmtId="0" fontId="0" fillId="0" borderId="6" xfId="0" applyFont="1" applyBorder="1" applyAlignment="1">
      <alignment wrapText="1"/>
    </xf>
    <xf numFmtId="9" fontId="0" fillId="2" borderId="4" xfId="0" applyNumberFormat="1" applyFont="1" applyFill="1" applyBorder="1" applyAlignment="1">
      <alignment horizontal="right" wrapText="1"/>
    </xf>
    <xf numFmtId="0" fontId="0" fillId="7" borderId="35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0" fillId="12" borderId="30" xfId="0" applyFont="1" applyFill="1" applyBorder="1" applyAlignment="1">
      <alignment horizontal="center" wrapText="1"/>
    </xf>
    <xf numFmtId="10" fontId="6" fillId="0" borderId="0" xfId="0" applyNumberFormat="1" applyFont="1"/>
    <xf numFmtId="9" fontId="6" fillId="0" borderId="0" xfId="0" applyNumberFormat="1" applyFont="1"/>
    <xf numFmtId="0" fontId="0" fillId="2" borderId="4" xfId="0" applyFont="1" applyFill="1" applyBorder="1" applyAlignment="1">
      <alignment horizontal="center" wrapText="1"/>
    </xf>
    <xf numFmtId="0" fontId="0" fillId="11" borderId="4" xfId="0" applyFont="1" applyFill="1" applyBorder="1" applyAlignment="1">
      <alignment horizontal="center" wrapText="1"/>
    </xf>
    <xf numFmtId="0" fontId="6" fillId="2" borderId="26" xfId="0" applyFont="1" applyFill="1" applyBorder="1"/>
    <xf numFmtId="0" fontId="3" fillId="3" borderId="7" xfId="0" applyFont="1" applyFill="1" applyBorder="1" applyAlignment="1">
      <alignment horizontal="center"/>
    </xf>
    <xf numFmtId="0" fontId="5" fillId="14" borderId="4" xfId="0" applyFont="1" applyFill="1" applyBorder="1"/>
    <xf numFmtId="164" fontId="0" fillId="14" borderId="4" xfId="0" applyNumberFormat="1" applyFont="1" applyFill="1" applyBorder="1"/>
    <xf numFmtId="0" fontId="5" fillId="0" borderId="4" xfId="0" applyFont="1" applyBorder="1"/>
    <xf numFmtId="10" fontId="0" fillId="14" borderId="4" xfId="0" applyNumberFormat="1" applyFont="1" applyFill="1" applyBorder="1"/>
    <xf numFmtId="9" fontId="0" fillId="14" borderId="4" xfId="0" applyNumberFormat="1" applyFont="1" applyFill="1" applyBorder="1"/>
    <xf numFmtId="0" fontId="0" fillId="5" borderId="26" xfId="0" applyFont="1" applyFill="1" applyBorder="1"/>
    <xf numFmtId="164" fontId="6" fillId="14" borderId="4" xfId="0" applyNumberFormat="1" applyFont="1" applyFill="1" applyBorder="1"/>
    <xf numFmtId="0" fontId="5" fillId="0" borderId="0" xfId="0" applyFont="1"/>
    <xf numFmtId="164" fontId="6" fillId="0" borderId="0" xfId="0" applyNumberFormat="1" applyFont="1"/>
    <xf numFmtId="0" fontId="3" fillId="3" borderId="30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left"/>
    </xf>
    <xf numFmtId="165" fontId="0" fillId="14" borderId="4" xfId="0" applyNumberFormat="1" applyFont="1" applyFill="1" applyBorder="1" applyAlignment="1">
      <alignment vertical="top"/>
    </xf>
    <xf numFmtId="165" fontId="0" fillId="14" borderId="4" xfId="0" applyNumberFormat="1" applyFont="1" applyFill="1" applyBorder="1"/>
    <xf numFmtId="164" fontId="0" fillId="5" borderId="26" xfId="0" applyNumberFormat="1" applyFont="1" applyFill="1" applyBorder="1"/>
    <xf numFmtId="164" fontId="0" fillId="14" borderId="4" xfId="0" applyNumberFormat="1" applyFont="1" applyFill="1" applyBorder="1" applyAlignment="1">
      <alignment vertical="top"/>
    </xf>
    <xf numFmtId="164" fontId="0" fillId="0" borderId="4" xfId="0" applyNumberFormat="1" applyFont="1" applyBorder="1" applyAlignment="1">
      <alignment vertical="top"/>
    </xf>
    <xf numFmtId="164" fontId="6" fillId="14" borderId="4" xfId="0" applyNumberFormat="1" applyFont="1" applyFill="1" applyBorder="1" applyAlignment="1">
      <alignment vertical="top"/>
    </xf>
    <xf numFmtId="165" fontId="6" fillId="14" borderId="4" xfId="0" applyNumberFormat="1" applyFont="1" applyFill="1" applyBorder="1" applyAlignment="1">
      <alignment vertical="top"/>
    </xf>
    <xf numFmtId="0" fontId="5" fillId="6" borderId="4" xfId="0" applyFont="1" applyFill="1" applyBorder="1" applyAlignment="1">
      <alignment horizontal="center"/>
    </xf>
    <xf numFmtId="0" fontId="1" fillId="7" borderId="18" xfId="0" applyFont="1" applyFill="1" applyBorder="1" applyAlignment="1">
      <alignment vertical="center" wrapText="1"/>
    </xf>
    <xf numFmtId="0" fontId="0" fillId="0" borderId="39" xfId="0" applyFont="1" applyBorder="1" applyAlignment="1">
      <alignment wrapText="1"/>
    </xf>
    <xf numFmtId="9" fontId="1" fillId="10" borderId="40" xfId="0" applyNumberFormat="1" applyFont="1" applyFill="1" applyBorder="1" applyAlignment="1">
      <alignment wrapText="1"/>
    </xf>
    <xf numFmtId="9" fontId="1" fillId="10" borderId="40" xfId="0" applyNumberFormat="1" applyFont="1" applyFill="1" applyBorder="1" applyAlignment="1">
      <alignment horizontal="center" wrapText="1"/>
    </xf>
    <xf numFmtId="1" fontId="0" fillId="10" borderId="40" xfId="0" applyNumberFormat="1" applyFont="1" applyFill="1" applyBorder="1" applyAlignment="1">
      <alignment horizontal="center" wrapText="1"/>
    </xf>
    <xf numFmtId="9" fontId="0" fillId="11" borderId="40" xfId="0" applyNumberFormat="1" applyFont="1" applyFill="1" applyBorder="1" applyAlignment="1">
      <alignment horizontal="right" wrapText="1"/>
    </xf>
    <xf numFmtId="0" fontId="1" fillId="10" borderId="40" xfId="0" applyFont="1" applyFill="1" applyBorder="1" applyAlignment="1">
      <alignment horizontal="center" wrapText="1"/>
    </xf>
    <xf numFmtId="0" fontId="1" fillId="10" borderId="41" xfId="0" applyFont="1" applyFill="1" applyBorder="1" applyAlignment="1">
      <alignment horizontal="center" wrapText="1"/>
    </xf>
    <xf numFmtId="0" fontId="0" fillId="0" borderId="42" xfId="0" applyFont="1" applyBorder="1" applyAlignment="1">
      <alignment wrapText="1"/>
    </xf>
    <xf numFmtId="9" fontId="1" fillId="10" borderId="4" xfId="0" applyNumberFormat="1" applyFont="1" applyFill="1" applyBorder="1" applyAlignment="1">
      <alignment horizontal="center" wrapText="1"/>
    </xf>
    <xf numFmtId="0" fontId="1" fillId="11" borderId="43" xfId="0" applyFont="1" applyFill="1" applyBorder="1" applyAlignment="1">
      <alignment horizontal="center" wrapText="1"/>
    </xf>
    <xf numFmtId="0" fontId="1" fillId="10" borderId="43" xfId="0" applyFont="1" applyFill="1" applyBorder="1" applyAlignment="1">
      <alignment horizontal="center" wrapText="1"/>
    </xf>
    <xf numFmtId="9" fontId="0" fillId="11" borderId="4" xfId="0" applyNumberFormat="1" applyFont="1" applyFill="1" applyBorder="1" applyAlignment="1">
      <alignment horizontal="right" wrapText="1"/>
    </xf>
    <xf numFmtId="9" fontId="1" fillId="10" borderId="4" xfId="0" applyNumberFormat="1" applyFont="1" applyFill="1" applyBorder="1" applyAlignment="1">
      <alignment wrapText="1"/>
    </xf>
    <xf numFmtId="0" fontId="0" fillId="0" borderId="44" xfId="0" applyFont="1" applyBorder="1" applyAlignment="1">
      <alignment wrapText="1"/>
    </xf>
    <xf numFmtId="9" fontId="1" fillId="10" borderId="45" xfId="0" applyNumberFormat="1" applyFont="1" applyFill="1" applyBorder="1" applyAlignment="1">
      <alignment wrapText="1"/>
    </xf>
    <xf numFmtId="9" fontId="1" fillId="10" borderId="45" xfId="0" applyNumberFormat="1" applyFont="1" applyFill="1" applyBorder="1" applyAlignment="1">
      <alignment horizontal="center" wrapText="1"/>
    </xf>
    <xf numFmtId="1" fontId="0" fillId="10" borderId="45" xfId="0" applyNumberFormat="1" applyFont="1" applyFill="1" applyBorder="1" applyAlignment="1">
      <alignment horizontal="center" wrapText="1"/>
    </xf>
    <xf numFmtId="9" fontId="0" fillId="11" borderId="45" xfId="0" applyNumberFormat="1" applyFont="1" applyFill="1" applyBorder="1" applyAlignment="1">
      <alignment horizontal="right" wrapText="1"/>
    </xf>
    <xf numFmtId="0" fontId="1" fillId="10" borderId="45" xfId="0" applyFont="1" applyFill="1" applyBorder="1" applyAlignment="1">
      <alignment horizontal="center" wrapText="1"/>
    </xf>
    <xf numFmtId="0" fontId="1" fillId="10" borderId="46" xfId="0" applyFont="1" applyFill="1" applyBorder="1" applyAlignment="1">
      <alignment horizontal="center" wrapText="1"/>
    </xf>
    <xf numFmtId="0" fontId="5" fillId="0" borderId="0" xfId="0" applyFont="1" applyAlignment="1">
      <alignment horizontal="right"/>
    </xf>
    <xf numFmtId="0" fontId="0" fillId="7" borderId="19" xfId="0" applyFont="1" applyFill="1" applyBorder="1" applyAlignment="1">
      <alignment wrapText="1"/>
    </xf>
    <xf numFmtId="0" fontId="1" fillId="7" borderId="20" xfId="0" applyFont="1" applyFill="1" applyBorder="1" applyAlignment="1">
      <alignment wrapText="1"/>
    </xf>
    <xf numFmtId="0" fontId="0" fillId="14" borderId="26" xfId="0" applyFont="1" applyFill="1" applyBorder="1"/>
    <xf numFmtId="0" fontId="0" fillId="14" borderId="4" xfId="0" applyFont="1" applyFill="1" applyBorder="1" applyAlignment="1">
      <alignment horizontal="center"/>
    </xf>
    <xf numFmtId="0" fontId="0" fillId="14" borderId="30" xfId="0" applyFont="1" applyFill="1" applyBorder="1" applyAlignment="1">
      <alignment horizontal="center"/>
    </xf>
    <xf numFmtId="0" fontId="1" fillId="2" borderId="30" xfId="0" applyFont="1" applyFill="1" applyBorder="1"/>
    <xf numFmtId="0" fontId="1" fillId="11" borderId="30" xfId="0" applyFont="1" applyFill="1" applyBorder="1"/>
    <xf numFmtId="0" fontId="0" fillId="0" borderId="4" xfId="0" applyFont="1" applyBorder="1"/>
    <xf numFmtId="0" fontId="1" fillId="14" borderId="4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 vertical="center"/>
    </xf>
    <xf numFmtId="0" fontId="0" fillId="11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3" fontId="0" fillId="0" borderId="4" xfId="0" applyNumberFormat="1" applyFont="1" applyBorder="1"/>
    <xf numFmtId="0" fontId="6" fillId="14" borderId="47" xfId="0" applyFont="1" applyFill="1" applyBorder="1" applyAlignment="1"/>
    <xf numFmtId="0" fontId="6" fillId="14" borderId="48" xfId="0" applyFont="1" applyFill="1" applyBorder="1" applyAlignment="1"/>
    <xf numFmtId="0" fontId="6" fillId="14" borderId="8" xfId="0" applyFont="1" applyFill="1" applyBorder="1" applyAlignment="1"/>
    <xf numFmtId="0" fontId="6" fillId="14" borderId="51" xfId="0" applyFont="1" applyFill="1" applyBorder="1" applyAlignment="1"/>
    <xf numFmtId="0" fontId="5" fillId="2" borderId="51" xfId="0" applyFont="1" applyFill="1" applyBorder="1" applyAlignment="1"/>
    <xf numFmtId="0" fontId="5" fillId="11" borderId="51" xfId="0" applyFont="1" applyFill="1" applyBorder="1" applyAlignment="1"/>
    <xf numFmtId="0" fontId="5" fillId="14" borderId="4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1" fillId="14" borderId="30" xfId="0" applyFont="1" applyFill="1" applyBorder="1" applyAlignment="1">
      <alignment horizontal="center"/>
    </xf>
    <xf numFmtId="0" fontId="1" fillId="14" borderId="30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4" xfId="0" applyFont="1" applyBorder="1" applyAlignment="1"/>
    <xf numFmtId="0" fontId="10" fillId="0" borderId="0" xfId="0" applyFont="1"/>
    <xf numFmtId="0" fontId="11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9" fontId="11" fillId="0" borderId="0" xfId="0" applyNumberFormat="1" applyFont="1"/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1" fillId="2" borderId="4" xfId="0" applyFont="1" applyFill="1" applyBorder="1"/>
    <xf numFmtId="0" fontId="1" fillId="0" borderId="0" xfId="0" applyFont="1"/>
    <xf numFmtId="0" fontId="0" fillId="0" borderId="26" xfId="0" applyNumberFormat="1" applyFont="1" applyBorder="1" applyAlignment="1"/>
    <xf numFmtId="0" fontId="0" fillId="0" borderId="53" xfId="0" applyFont="1" applyBorder="1" applyAlignment="1"/>
    <xf numFmtId="0" fontId="0" fillId="0" borderId="53" xfId="0" pivotButton="1" applyFont="1" applyBorder="1" applyAlignment="1"/>
    <xf numFmtId="0" fontId="0" fillId="0" borderId="54" xfId="0" pivotButton="1" applyFont="1" applyBorder="1" applyAlignment="1"/>
    <xf numFmtId="0" fontId="0" fillId="0" borderId="54" xfId="0" applyFont="1" applyBorder="1" applyAlignment="1"/>
    <xf numFmtId="0" fontId="0" fillId="0" borderId="55" xfId="0" applyFont="1" applyBorder="1" applyAlignment="1"/>
    <xf numFmtId="0" fontId="0" fillId="0" borderId="56" xfId="0" applyFont="1" applyBorder="1" applyAlignment="1"/>
    <xf numFmtId="0" fontId="0" fillId="0" borderId="57" xfId="0" applyFont="1" applyBorder="1" applyAlignment="1"/>
    <xf numFmtId="0" fontId="0" fillId="0" borderId="58" xfId="0" applyFont="1" applyBorder="1" applyAlignment="1"/>
    <xf numFmtId="0" fontId="0" fillId="0" borderId="59" xfId="0" applyFont="1" applyBorder="1" applyAlignment="1"/>
    <xf numFmtId="0" fontId="0" fillId="0" borderId="53" xfId="0" applyNumberFormat="1" applyFont="1" applyBorder="1" applyAlignment="1"/>
    <xf numFmtId="0" fontId="0" fillId="0" borderId="58" xfId="0" applyNumberFormat="1" applyFont="1" applyBorder="1" applyAlignment="1"/>
    <xf numFmtId="0" fontId="0" fillId="0" borderId="57" xfId="0" applyNumberFormat="1" applyFont="1" applyBorder="1" applyAlignment="1"/>
    <xf numFmtId="0" fontId="0" fillId="0" borderId="60" xfId="0" applyFont="1" applyBorder="1" applyAlignment="1"/>
    <xf numFmtId="0" fontId="0" fillId="0" borderId="60" xfId="0" applyNumberFormat="1" applyFont="1" applyBorder="1" applyAlignment="1"/>
    <xf numFmtId="0" fontId="0" fillId="0" borderId="61" xfId="0" applyNumberFormat="1" applyFont="1" applyBorder="1" applyAlignment="1"/>
    <xf numFmtId="0" fontId="0" fillId="0" borderId="62" xfId="0" applyFont="1" applyBorder="1" applyAlignment="1"/>
    <xf numFmtId="0" fontId="0" fillId="0" borderId="62" xfId="0" applyNumberFormat="1" applyFont="1" applyBorder="1" applyAlignment="1"/>
    <xf numFmtId="0" fontId="0" fillId="0" borderId="63" xfId="0" applyNumberFormat="1" applyFont="1" applyBorder="1" applyAlignment="1"/>
    <xf numFmtId="0" fontId="0" fillId="0" borderId="64" xfId="0" applyNumberFormat="1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1" fillId="7" borderId="15" xfId="0" applyFont="1" applyFill="1" applyBorder="1" applyAlignment="1">
      <alignment horizontal="center" wrapText="1"/>
    </xf>
    <xf numFmtId="0" fontId="2" fillId="0" borderId="16" xfId="0" applyFont="1" applyBorder="1"/>
    <xf numFmtId="0" fontId="2" fillId="0" borderId="17" xfId="0" applyFont="1" applyBorder="1"/>
    <xf numFmtId="0" fontId="1" fillId="7" borderId="15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1" fillId="2" borderId="38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7" fontId="1" fillId="15" borderId="15" xfId="0" applyNumberFormat="1" applyFont="1" applyFill="1" applyBorder="1" applyAlignment="1">
      <alignment horizontal="center"/>
    </xf>
    <xf numFmtId="17" fontId="1" fillId="16" borderId="15" xfId="0" applyNumberFormat="1" applyFont="1" applyFill="1" applyBorder="1" applyAlignment="1">
      <alignment horizontal="center"/>
    </xf>
    <xf numFmtId="17" fontId="0" fillId="16" borderId="15" xfId="0" applyNumberFormat="1" applyFont="1" applyFill="1" applyBorder="1" applyAlignment="1">
      <alignment horizontal="center"/>
    </xf>
    <xf numFmtId="0" fontId="0" fillId="14" borderId="49" xfId="0" applyFont="1" applyFill="1" applyBorder="1" applyAlignment="1">
      <alignment horizontal="center"/>
    </xf>
    <xf numFmtId="166" fontId="5" fillId="8" borderId="2" xfId="0" applyNumberFormat="1" applyFont="1" applyFill="1" applyBorder="1" applyAlignment="1">
      <alignment horizontal="center"/>
    </xf>
    <xf numFmtId="166" fontId="5" fillId="16" borderId="2" xfId="0" applyNumberFormat="1" applyFont="1" applyFill="1" applyBorder="1" applyAlignment="1">
      <alignment horizontal="center"/>
    </xf>
    <xf numFmtId="166" fontId="5" fillId="15" borderId="2" xfId="0" applyNumberFormat="1" applyFont="1" applyFill="1" applyBorder="1" applyAlignment="1">
      <alignment horizontal="center"/>
    </xf>
    <xf numFmtId="166" fontId="6" fillId="16" borderId="2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vertical="center" wrapText="1"/>
    </xf>
    <xf numFmtId="0" fontId="2" fillId="0" borderId="34" xfId="0" applyFont="1" applyBorder="1"/>
    <xf numFmtId="0" fontId="0" fillId="14" borderId="50" xfId="0" applyFont="1" applyFill="1" applyBorder="1" applyAlignment="1">
      <alignment horizontal="center"/>
    </xf>
    <xf numFmtId="0" fontId="0" fillId="14" borderId="52" xfId="0" applyFont="1" applyFill="1" applyBorder="1" applyAlignment="1">
      <alignment horizontal="center"/>
    </xf>
    <xf numFmtId="0" fontId="0" fillId="14" borderId="47" xfId="0" applyFont="1" applyFill="1" applyBorder="1" applyAlignment="1">
      <alignment horizontal="center"/>
    </xf>
  </cellXfs>
  <cellStyles count="1">
    <cellStyle name="Normal" xfId="0" builtinId="0"/>
  </cellStyles>
  <dxfs count="99">
    <dxf>
      <font>
        <color rgb="FF000000"/>
      </font>
      <fill>
        <patternFill patternType="solid">
          <fgColor rgb="FF6AA84F"/>
          <bgColor rgb="FF6AA84F"/>
        </patternFill>
      </fill>
    </dxf>
    <dxf>
      <font>
        <color theme="1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ont>
        <color theme="1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ont>
        <color theme="1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ont>
        <color theme="1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ont>
        <color theme="1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ont>
        <color theme="1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ont>
        <color theme="1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ont>
        <color theme="1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D1 and D2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MP D1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TRENDS!$C$4:$H$4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 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TRENDS!$C$5:$H$5</c:f>
              <c:numCache>
                <c:formatCode>0%</c:formatCode>
                <c:ptCount val="6"/>
                <c:pt idx="0">
                  <c:v>-0.1</c:v>
                </c:pt>
                <c:pt idx="1">
                  <c:v>-0.2</c:v>
                </c:pt>
                <c:pt idx="2">
                  <c:v>-0.1</c:v>
                </c:pt>
                <c:pt idx="3">
                  <c:v>-0.05</c:v>
                </c:pt>
                <c:pt idx="4">
                  <c:v>-0.15</c:v>
                </c:pt>
                <c:pt idx="5">
                  <c:v>-0.1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57-4D46-BDD1-5CEA39C97DC2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MP D2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TRENDS!$C$4:$H$4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 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TRENDS!$C$6:$H$6</c:f>
              <c:numCache>
                <c:formatCode>0%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-0.1</c:v>
                </c:pt>
                <c:pt idx="3">
                  <c:v>0.1</c:v>
                </c:pt>
                <c:pt idx="4">
                  <c:v>-0.05</c:v>
                </c:pt>
                <c:pt idx="5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57-4D46-BDD1-5CEA39C97DC2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497664"/>
        <c:axId val="443496488"/>
      </c:barChart>
      <c:catAx>
        <c:axId val="443497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District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3496488"/>
        <c:crosses val="autoZero"/>
        <c:auto val="1"/>
        <c:lblAlgn val="ctr"/>
        <c:lblOffset val="100"/>
        <c:noMultiLvlLbl val="1"/>
      </c:catAx>
      <c:valAx>
        <c:axId val="443496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34976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504825</xdr:colOff>
      <xdr:row>2</xdr:row>
      <xdr:rowOff>0</xdr:rowOff>
    </xdr:from>
    <xdr:ext cx="200025" cy="276225"/>
    <xdr:sp macro="" textlink=""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2047875</xdr:colOff>
      <xdr:row>0</xdr:row>
      <xdr:rowOff>0</xdr:rowOff>
    </xdr:from>
    <xdr:ext cx="3905250" cy="2419350"/>
    <xdr:graphicFrame macro="">
      <xdr:nvGraphicFramePr>
        <xdr:cNvPr id="124997810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shutosh" refreshedDate="44589.497157986109" refreshedVersion="5" recordCount="115">
  <cacheSource type="worksheet">
    <worksheetSource ref="A1:E116" sheet="YTD - Target"/>
  </cacheSource>
  <cacheFields count="5">
    <cacheField name="State" numFmtId="0">
      <sharedItems count="4">
        <s v="Rajasthan"/>
        <s v="MP"/>
        <s v="Sidhi"/>
        <s v="UP"/>
      </sharedItems>
    </cacheField>
    <cacheField name="District" numFmtId="0">
      <sharedItems/>
    </cacheField>
    <cacheField name="Outcome" numFmtId="0">
      <sharedItems count="6">
        <s v="Enrolment 5-14"/>
        <s v="# Girls Leaders"/>
        <s v="# SMC Members Trained"/>
        <s v="#Retention Data Verification"/>
        <s v="# Learning Beneficiaries-PO "/>
        <s v="# Learning Beneficiaries-AGP"/>
      </sharedItems>
    </cacheField>
    <cacheField name="Weekly Target" numFmtId="0">
      <sharedItems containsString="0" containsBlank="1" containsNumber="1" containsInteger="1" minValue="0" maxValue="7000"/>
    </cacheField>
    <cacheField name="YTD Target" numFmtId="0">
      <sharedItems containsSemiMixedTypes="0" containsString="0" containsNumber="1" containsInteger="1" minValue="0" maxValue="3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">
  <r>
    <x v="0"/>
    <s v="AJMER"/>
    <x v="0"/>
    <n v="156"/>
    <n v="2173"/>
  </r>
  <r>
    <x v="0"/>
    <s v="AJMER"/>
    <x v="1"/>
    <n v="803"/>
    <n v="2730"/>
  </r>
  <r>
    <x v="0"/>
    <s v="AJMER"/>
    <x v="2"/>
    <n v="64"/>
    <n v="346"/>
  </r>
  <r>
    <x v="0"/>
    <s v="AJMER"/>
    <x v="3"/>
    <n v="0"/>
    <n v="2249"/>
  </r>
  <r>
    <x v="0"/>
    <s v="AJMER"/>
    <x v="4"/>
    <n v="0"/>
    <n v="2280"/>
  </r>
  <r>
    <x v="0"/>
    <s v="AJMER"/>
    <x v="5"/>
    <n v="100"/>
    <n v="400"/>
  </r>
  <r>
    <x v="0"/>
    <s v="BANSWARA"/>
    <x v="0"/>
    <n v="556"/>
    <n v="5094"/>
  </r>
  <r>
    <x v="0"/>
    <s v="BANSWARA"/>
    <x v="1"/>
    <n v="688"/>
    <n v="2294"/>
  </r>
  <r>
    <x v="0"/>
    <s v="BANSWARA"/>
    <x v="2"/>
    <n v="62"/>
    <n v="2824"/>
  </r>
  <r>
    <x v="0"/>
    <s v="BANSWARA"/>
    <x v="3"/>
    <n v="2234"/>
    <n v="8282"/>
  </r>
  <r>
    <x v="0"/>
    <s v="BANSWARA"/>
    <x v="4"/>
    <n v="0"/>
    <n v="4969"/>
  </r>
  <r>
    <x v="0"/>
    <s v="BANSWARA"/>
    <x v="5"/>
    <m/>
    <n v="60"/>
  </r>
  <r>
    <x v="0"/>
    <s v="BHILWARA"/>
    <x v="0"/>
    <n v="186"/>
    <n v="921"/>
  </r>
  <r>
    <x v="0"/>
    <s v="BHILWARA"/>
    <x v="1"/>
    <n v="0"/>
    <n v="1456"/>
  </r>
  <r>
    <x v="0"/>
    <s v="BHILWARA"/>
    <x v="2"/>
    <n v="78"/>
    <n v="234"/>
  </r>
  <r>
    <x v="0"/>
    <s v="BHILWARA"/>
    <x v="3"/>
    <n v="0"/>
    <n v="402"/>
  </r>
  <r>
    <x v="0"/>
    <s v="BHILWARA"/>
    <x v="4"/>
    <n v="0"/>
    <n v="0"/>
  </r>
  <r>
    <x v="0"/>
    <s v="BHILWARA"/>
    <x v="5"/>
    <m/>
    <n v="0"/>
  </r>
  <r>
    <x v="0"/>
    <s v="BUNDI"/>
    <x v="0"/>
    <n v="402"/>
    <n v="1851"/>
  </r>
  <r>
    <x v="0"/>
    <s v="BUNDI"/>
    <x v="1"/>
    <n v="678"/>
    <n v="2262"/>
  </r>
  <r>
    <x v="0"/>
    <s v="BUNDI"/>
    <x v="2"/>
    <n v="50"/>
    <n v="576"/>
  </r>
  <r>
    <x v="0"/>
    <s v="BUNDI"/>
    <x v="3"/>
    <n v="0"/>
    <n v="2287"/>
  </r>
  <r>
    <x v="0"/>
    <s v="BUNDI"/>
    <x v="4"/>
    <n v="0"/>
    <n v="920"/>
  </r>
  <r>
    <x v="0"/>
    <s v="BUNDI"/>
    <x v="5"/>
    <m/>
    <n v="240"/>
  </r>
  <r>
    <x v="0"/>
    <s v="JALORE"/>
    <x v="0"/>
    <n v="1290"/>
    <n v="3751"/>
  </r>
  <r>
    <x v="0"/>
    <s v="JALORE"/>
    <x v="1"/>
    <n v="698"/>
    <n v="2314"/>
  </r>
  <r>
    <x v="0"/>
    <s v="JALORE"/>
    <x v="2"/>
    <n v="42"/>
    <n v="428"/>
  </r>
  <r>
    <x v="0"/>
    <s v="JALORE"/>
    <x v="3"/>
    <n v="0"/>
    <n v="2564"/>
  </r>
  <r>
    <x v="0"/>
    <s v="JALORE"/>
    <x v="4"/>
    <n v="0"/>
    <n v="2280"/>
  </r>
  <r>
    <x v="0"/>
    <s v="JALORE"/>
    <x v="5"/>
    <n v="320"/>
    <n v="1620"/>
  </r>
  <r>
    <x v="0"/>
    <s v="JHALAWAR"/>
    <x v="0"/>
    <n v="102"/>
    <n v="1537"/>
  </r>
  <r>
    <x v="0"/>
    <s v="JHALAWAR"/>
    <x v="1"/>
    <n v="698"/>
    <n v="2414"/>
  </r>
  <r>
    <x v="0"/>
    <s v="JHALAWAR"/>
    <x v="2"/>
    <n v="72"/>
    <n v="1661"/>
  </r>
  <r>
    <x v="0"/>
    <s v="JHALAWAR"/>
    <x v="3"/>
    <n v="1112"/>
    <n v="5560"/>
  </r>
  <r>
    <x v="0"/>
    <s v="JHALAWAR"/>
    <x v="4"/>
    <n v="0"/>
    <n v="980"/>
  </r>
  <r>
    <x v="0"/>
    <s v="JHALAWAR"/>
    <x v="5"/>
    <m/>
    <n v="80"/>
  </r>
  <r>
    <x v="0"/>
    <s v="RAJSAMAND"/>
    <x v="0"/>
    <n v="198"/>
    <n v="2664"/>
  </r>
  <r>
    <x v="0"/>
    <s v="RAJSAMAND"/>
    <x v="1"/>
    <n v="698"/>
    <n v="2324"/>
  </r>
  <r>
    <x v="0"/>
    <s v="RAJSAMAND"/>
    <x v="2"/>
    <n v="58"/>
    <n v="380"/>
  </r>
  <r>
    <x v="0"/>
    <s v="RAJSAMAND"/>
    <x v="3"/>
    <n v="994"/>
    <n v="5034"/>
  </r>
  <r>
    <x v="0"/>
    <s v="RAJSAMAND"/>
    <x v="4"/>
    <n v="0"/>
    <n v="2640"/>
  </r>
  <r>
    <x v="0"/>
    <s v="RAJSAMAND"/>
    <x v="5"/>
    <n v="295"/>
    <n v="600"/>
  </r>
  <r>
    <x v="0"/>
    <s v="SALUMBER"/>
    <x v="0"/>
    <n v="686"/>
    <n v="5989"/>
  </r>
  <r>
    <x v="0"/>
    <s v="SALUMBER"/>
    <x v="1"/>
    <n v="478"/>
    <n v="1625"/>
  </r>
  <r>
    <x v="0"/>
    <s v="SALUMBER"/>
    <x v="2"/>
    <n v="77"/>
    <n v="1271"/>
  </r>
  <r>
    <x v="0"/>
    <s v="SALUMBER"/>
    <x v="3"/>
    <n v="989"/>
    <n v="4945"/>
  </r>
  <r>
    <x v="0"/>
    <s v="SALUMBER"/>
    <x v="4"/>
    <n v="0"/>
    <n v="1520"/>
  </r>
  <r>
    <x v="0"/>
    <s v="SALUMBER"/>
    <x v="5"/>
    <m/>
    <n v="200"/>
  </r>
  <r>
    <x v="0"/>
    <s v="SIROHI"/>
    <x v="0"/>
    <n v="395"/>
    <n v="3580"/>
  </r>
  <r>
    <x v="0"/>
    <s v="SIROHI"/>
    <x v="1"/>
    <n v="646"/>
    <n v="2286"/>
  </r>
  <r>
    <x v="0"/>
    <s v="SIROHI"/>
    <x v="2"/>
    <n v="62"/>
    <n v="254"/>
  </r>
  <r>
    <x v="0"/>
    <s v="SIROHI"/>
    <x v="3"/>
    <n v="731"/>
    <n v="4779"/>
  </r>
  <r>
    <x v="0"/>
    <s v="SIROHI"/>
    <x v="4"/>
    <n v="0"/>
    <n v="2940"/>
  </r>
  <r>
    <x v="0"/>
    <s v="SIROHI"/>
    <x v="5"/>
    <n v="412"/>
    <n v="1980"/>
  </r>
  <r>
    <x v="0"/>
    <s v="UDAIPUR"/>
    <x v="0"/>
    <n v="962"/>
    <n v="7221"/>
  </r>
  <r>
    <x v="0"/>
    <s v="UDAIPUR"/>
    <x v="1"/>
    <n v="832"/>
    <n v="2763"/>
  </r>
  <r>
    <x v="0"/>
    <s v="UDAIPUR"/>
    <x v="2"/>
    <n v="107"/>
    <n v="1163"/>
  </r>
  <r>
    <x v="0"/>
    <s v="UDAIPUR"/>
    <x v="3"/>
    <n v="2607"/>
    <n v="13035"/>
  </r>
  <r>
    <x v="0"/>
    <s v="UDAIPUR"/>
    <x v="4"/>
    <n v="0"/>
    <n v="2560"/>
  </r>
  <r>
    <x v="0"/>
    <s v="UDAIPUR"/>
    <x v="5"/>
    <n v="80"/>
    <n v="700"/>
  </r>
  <r>
    <x v="1"/>
    <s v="Alirajpur"/>
    <x v="0"/>
    <n v="1400"/>
    <n v="15154"/>
  </r>
  <r>
    <x v="1"/>
    <s v="Alirajpur"/>
    <x v="1"/>
    <n v="4017"/>
    <n v="4017"/>
  </r>
  <r>
    <x v="1"/>
    <s v="Alirajpur"/>
    <x v="2"/>
    <n v="200"/>
    <n v="2173"/>
  </r>
  <r>
    <x v="1"/>
    <s v="Alirajpur"/>
    <x v="3"/>
    <n v="3338"/>
    <n v="14586"/>
  </r>
  <r>
    <x v="1"/>
    <s v="Alirajpur"/>
    <x v="4"/>
    <n v="0"/>
    <n v="8240"/>
  </r>
  <r>
    <x v="1"/>
    <s v="Barwani"/>
    <x v="0"/>
    <n v="4879"/>
    <n v="24569"/>
  </r>
  <r>
    <x v="1"/>
    <s v="Barwani"/>
    <x v="1"/>
    <n v="1950"/>
    <n v="3250"/>
  </r>
  <r>
    <x v="1"/>
    <s v="Barwani"/>
    <x v="2"/>
    <n v="200"/>
    <n v="2860"/>
  </r>
  <r>
    <x v="1"/>
    <s v="Barwani"/>
    <x v="3"/>
    <n v="2425"/>
    <n v="11855"/>
  </r>
  <r>
    <x v="1"/>
    <s v="Barwani"/>
    <x v="4"/>
    <n v="0"/>
    <n v="7200"/>
  </r>
  <r>
    <x v="1"/>
    <s v="Dhar"/>
    <x v="0"/>
    <n v="200"/>
    <n v="3259"/>
  </r>
  <r>
    <x v="1"/>
    <s v="Dhar"/>
    <x v="1"/>
    <n v="260"/>
    <n v="520"/>
  </r>
  <r>
    <x v="1"/>
    <s v="Dhar"/>
    <x v="2"/>
    <n v="200"/>
    <n v="1713"/>
  </r>
  <r>
    <x v="1"/>
    <s v="Dhar"/>
    <x v="3"/>
    <n v="2255"/>
    <n v="12425"/>
  </r>
  <r>
    <x v="1"/>
    <s v="Dhar"/>
    <x v="4"/>
    <n v="0"/>
    <n v="5820"/>
  </r>
  <r>
    <x v="1"/>
    <s v="Jhabua"/>
    <x v="0"/>
    <n v="1350"/>
    <n v="12611"/>
  </r>
  <r>
    <x v="1"/>
    <s v="Jhabua"/>
    <x v="1"/>
    <n v="500"/>
    <n v="1510"/>
  </r>
  <r>
    <x v="1"/>
    <s v="Jhabua"/>
    <x v="2"/>
    <n v="120"/>
    <n v="2222"/>
  </r>
  <r>
    <x v="1"/>
    <s v="Jhabua"/>
    <x v="3"/>
    <n v="700"/>
    <n v="13489"/>
  </r>
  <r>
    <x v="1"/>
    <s v="Jhabua"/>
    <x v="4"/>
    <n v="0"/>
    <n v="8320"/>
  </r>
  <r>
    <x v="1"/>
    <s v="Khalwa"/>
    <x v="0"/>
    <n v="200"/>
    <n v="1918"/>
  </r>
  <r>
    <x v="1"/>
    <s v="Khalwa"/>
    <x v="1"/>
    <n v="45"/>
    <n v="85"/>
  </r>
  <r>
    <x v="1"/>
    <s v="Khalwa"/>
    <x v="2"/>
    <n v="50"/>
    <n v="346"/>
  </r>
  <r>
    <x v="1"/>
    <s v="Khalwa"/>
    <x v="3"/>
    <n v="600"/>
    <n v="3000"/>
  </r>
  <r>
    <x v="1"/>
    <s v="Khalwa"/>
    <x v="4"/>
    <n v="0"/>
    <n v="859"/>
  </r>
  <r>
    <x v="1"/>
    <s v="Khandwa"/>
    <x v="0"/>
    <n v="900"/>
    <n v="11109"/>
  </r>
  <r>
    <x v="1"/>
    <s v="Khandwa"/>
    <x v="1"/>
    <n v="440"/>
    <n v="880"/>
  </r>
  <r>
    <x v="1"/>
    <s v="Khandwa"/>
    <x v="2"/>
    <n v="400"/>
    <n v="2725"/>
  </r>
  <r>
    <x v="1"/>
    <s v="Khandwa"/>
    <x v="3"/>
    <n v="3000"/>
    <n v="15000"/>
  </r>
  <r>
    <x v="1"/>
    <s v="Khandwa"/>
    <x v="4"/>
    <n v="0"/>
    <n v="8080"/>
  </r>
  <r>
    <x v="2"/>
    <s v="Sidhi"/>
    <x v="0"/>
    <n v="976"/>
    <n v="16914"/>
  </r>
  <r>
    <x v="2"/>
    <s v="Sidhi"/>
    <x v="1"/>
    <n v="1846"/>
    <n v="3432"/>
  </r>
  <r>
    <x v="2"/>
    <s v="Sidhi"/>
    <x v="2"/>
    <n v="610"/>
    <n v="2540"/>
  </r>
  <r>
    <x v="2"/>
    <s v="Sidhi"/>
    <x v="3"/>
    <n v="1453"/>
    <n v="9013"/>
  </r>
  <r>
    <x v="2"/>
    <s v="Sidhi"/>
    <x v="4"/>
    <n v="0"/>
    <n v="10560"/>
  </r>
  <r>
    <x v="3"/>
    <s v="CHITRAKOOT"/>
    <x v="0"/>
    <n v="679"/>
    <n v="26313"/>
  </r>
  <r>
    <x v="3"/>
    <s v="CHITRAKOOT"/>
    <x v="1"/>
    <n v="1417"/>
    <n v="4251"/>
  </r>
  <r>
    <x v="3"/>
    <s v="CHITRAKOOT"/>
    <x v="2"/>
    <n v="654"/>
    <n v="1962"/>
  </r>
  <r>
    <x v="3"/>
    <s v="CHITRAKOOT"/>
    <x v="3"/>
    <n v="7000"/>
    <n v="35000"/>
  </r>
  <r>
    <x v="3"/>
    <s v="CHITRAKOOT"/>
    <x v="4"/>
    <n v="0"/>
    <n v="13496"/>
  </r>
  <r>
    <x v="3"/>
    <s v="FATEHPUR"/>
    <x v="0"/>
    <n v="1666"/>
    <n v="12175"/>
  </r>
  <r>
    <x v="3"/>
    <s v="FATEHPUR"/>
    <x v="1"/>
    <n v="0"/>
    <n v="3630"/>
  </r>
  <r>
    <x v="3"/>
    <s v="FATEHPUR"/>
    <x v="2"/>
    <n v="0"/>
    <n v="1750"/>
  </r>
  <r>
    <x v="3"/>
    <s v="FATEHPUR"/>
    <x v="3"/>
    <n v="0"/>
    <n v="0"/>
  </r>
  <r>
    <x v="3"/>
    <s v="FATEHPUR"/>
    <x v="4"/>
    <n v="0"/>
    <n v="11193"/>
  </r>
  <r>
    <x v="3"/>
    <s v="PRAYAGRAJ"/>
    <x v="0"/>
    <n v="816"/>
    <n v="9246"/>
  </r>
  <r>
    <x v="3"/>
    <s v="PRAYAGRAJ"/>
    <x v="1"/>
    <n v="548"/>
    <n v="1644"/>
  </r>
  <r>
    <x v="3"/>
    <s v="PRAYAGRAJ"/>
    <x v="2"/>
    <n v="300"/>
    <n v="1820"/>
  </r>
  <r>
    <x v="3"/>
    <s v="PRAYAGRAJ"/>
    <x v="3"/>
    <n v="0"/>
    <n v="0"/>
  </r>
  <r>
    <x v="3"/>
    <s v="PRAYAGRAJ"/>
    <x v="4"/>
    <n v="0"/>
    <n v="8160"/>
  </r>
  <r>
    <x v="3"/>
    <s v="ROBERTSGANJ"/>
    <x v="0"/>
    <n v="1065"/>
    <n v="11407"/>
  </r>
  <r>
    <x v="3"/>
    <s v="ROBERTSGANJ"/>
    <x v="1"/>
    <n v="209"/>
    <n v="2031"/>
  </r>
  <r>
    <x v="3"/>
    <s v="ROBERTSGANJ"/>
    <x v="2"/>
    <n v="680"/>
    <n v="2040"/>
  </r>
  <r>
    <x v="3"/>
    <s v="ROBERTSGANJ"/>
    <x v="3"/>
    <n v="0"/>
    <n v="0"/>
  </r>
  <r>
    <x v="3"/>
    <s v="ROBERTSGANJ"/>
    <x v="4"/>
    <n v="0"/>
    <n v="8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YTD - Target" cacheId="289" applyNumberFormats="0" applyBorderFormats="0" applyFontFormats="0" applyPatternFormats="0" applyAlignmentFormats="0" applyWidthHeightFormats="0" dataCaption="" updatedVersion="5" compact="0" compactData="0">
  <location ref="K1:Y8" firstHeaderRow="1" firstDataRow="3" firstDataCol="1"/>
  <pivotFields count="5">
    <pivotField name="State" axis="axisRow" compact="0" outline="0" multipleItemSelectionAllowed="1" showAll="0" sortType="ascending">
      <items count="5">
        <item x="1"/>
        <item x="0"/>
        <item x="2"/>
        <item x="3"/>
        <item t="default"/>
      </items>
    </pivotField>
    <pivotField name="District" compact="0" outline="0" multipleItemSelectionAllowed="1" showAll="0"/>
    <pivotField name="Outcome" axis="axisCol" compact="0" outline="0" multipleItemSelectionAllowed="1" showAll="0" sortType="ascending">
      <items count="7">
        <item x="1"/>
        <item x="5"/>
        <item x="4"/>
        <item x="2"/>
        <item x="3"/>
        <item x="0"/>
        <item t="default"/>
      </items>
    </pivotField>
    <pivotField name="Weekly Target" dataField="1" compact="0" outline="0" multipleItemSelectionAllowed="1" showAll="0"/>
    <pivotField name="YTD Target" dataField="1" compact="0" outline="0" multipleItemSelectionAllowe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UM of Weekly Target" fld="3" baseField="0"/>
    <dataField name="Sum of YTD Target" fld="4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ColWidth="14.42578125" defaultRowHeight="15" customHeight="1"/>
  <cols>
    <col min="1" max="1" width="31" customWidth="1"/>
    <col min="2" max="2" width="21.7109375" customWidth="1"/>
    <col min="3" max="3" width="32.5703125" customWidth="1"/>
    <col min="4" max="4" width="9.5703125" customWidth="1"/>
    <col min="5" max="5" width="11.5703125" customWidth="1"/>
    <col min="6" max="6" width="11.7109375" customWidth="1"/>
    <col min="7" max="7" width="12.85546875" customWidth="1"/>
    <col min="8" max="8" width="14.42578125" customWidth="1"/>
  </cols>
  <sheetData>
    <row r="1" spans="1:26">
      <c r="A1" s="232" t="s">
        <v>0</v>
      </c>
      <c r="B1" s="233"/>
      <c r="C1" s="233"/>
      <c r="D1" s="233"/>
      <c r="E1" s="233"/>
      <c r="F1" s="233"/>
      <c r="G1" s="233"/>
      <c r="H1" s="23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4" t="s">
        <v>9</v>
      </c>
      <c r="B3" s="5"/>
      <c r="C3" s="6"/>
      <c r="D3" s="6"/>
      <c r="E3" s="6"/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7" t="s">
        <v>10</v>
      </c>
      <c r="B4" s="8">
        <f>RAJASTHAN!B3+'MADHYA PRADESH'!B4+'UTTAR PRADESH'!B4+'UTTAR PRADESH'!B20</f>
        <v>220778</v>
      </c>
      <c r="C4" s="8">
        <f>RAJASTHAN!C3+'MADHYA PRADESH'!C4+'UTTAR PRADESH'!C4+'UTTAR PRADESH'!C20</f>
        <v>139359</v>
      </c>
      <c r="D4" s="8"/>
      <c r="E4" s="9"/>
      <c r="F4" s="10">
        <v>0</v>
      </c>
      <c r="G4" s="9"/>
      <c r="H4" s="10">
        <f t="shared" ref="H4:H6" si="0">C4-E4</f>
        <v>139359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7" t="s">
        <v>11</v>
      </c>
      <c r="B5" s="8">
        <f>RAJASTHAN!B4+'MADHYA PRADESH'!B5+'UTTAR PRADESH'!B5+'UTTAR PRADESH'!B21</f>
        <v>211802</v>
      </c>
      <c r="C5" s="8">
        <f>RAJASTHAN!C4+'MADHYA PRADESH'!C5+'UTTAR PRADESH'!C5+'UTTAR PRADESH'!C21</f>
        <v>109631</v>
      </c>
      <c r="D5" s="1"/>
      <c r="E5" s="9"/>
      <c r="F5" s="1"/>
      <c r="G5" s="9"/>
      <c r="H5" s="10">
        <f t="shared" si="0"/>
        <v>109631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7" t="s">
        <v>12</v>
      </c>
      <c r="B6" s="8">
        <f>RAJASTHAN!B5+'MADHYA PRADESH'!B6+'UTTAR PRADESH'!B6+'UTTAR PRADESH'!B22</f>
        <v>432580</v>
      </c>
      <c r="C6" s="8">
        <f>RAJASTHAN!C5+'MADHYA PRADESH'!C6+'UTTAR PRADESH'!C6+'UTTAR PRADESH'!C22</f>
        <v>248990</v>
      </c>
      <c r="D6" s="8">
        <f>RAJASTHAN!D5+'MADHYA PRADESH'!D6+'UTTAR PRADESH'!D6+'UTTAR PRADESH'!D22</f>
        <v>179456</v>
      </c>
      <c r="E6" s="11"/>
      <c r="F6" s="10">
        <f>RAJASTHAN!F5+'MADHYA PRADESH'!F6+'UTTAR PRADESH'!F6+'UTTAR PRADESH'!F22</f>
        <v>19064</v>
      </c>
      <c r="G6" s="9"/>
      <c r="H6" s="10">
        <f t="shared" si="0"/>
        <v>248990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2" t="s">
        <v>13</v>
      </c>
      <c r="B7" s="13"/>
      <c r="C7" s="13"/>
      <c r="D7" s="13"/>
      <c r="E7" s="14"/>
      <c r="F7" s="15"/>
      <c r="G7" s="16"/>
      <c r="H7" s="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14</v>
      </c>
      <c r="B8" s="17"/>
      <c r="C8" s="18"/>
      <c r="D8" s="18"/>
      <c r="E8" s="19"/>
      <c r="F8" s="17"/>
      <c r="G8" s="17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7" t="s">
        <v>15</v>
      </c>
      <c r="B9" s="8">
        <f>RAJASTHAN!B9+'MADHYA PRADESH'!B9+'UTTAR PRADESH'!B9+'UTTAR PRADESH'!B25</f>
        <v>78930</v>
      </c>
      <c r="C9" s="8">
        <f>RAJASTHAN!C9+'MADHYA PRADESH'!C9+'UTTAR PRADESH'!C9+'UTTAR PRADESH'!C25</f>
        <v>60972</v>
      </c>
      <c r="D9" s="8">
        <f>RAJASTHAN!D9+'MADHYA PRADESH'!D9+'UTTAR PRADESH'!D9+'UTTAR PRADESH'!D25</f>
        <v>47718</v>
      </c>
      <c r="E9" s="9"/>
      <c r="F9" s="8">
        <f>RAJASTHAN!F9+'MADHYA PRADESH'!F9+'UTTAR PRADESH'!F9+'UTTAR PRADESH'!F25</f>
        <v>17451</v>
      </c>
      <c r="G9" s="9"/>
      <c r="H9" s="10">
        <f t="shared" ref="H9:H11" si="1">C9-E9</f>
        <v>60972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7" t="s">
        <v>16</v>
      </c>
      <c r="B10" s="8">
        <f>RAJASTHAN!B10+'MADHYA PRADESH'!B10+'UTTAR PRADESH'!B10+'UTTAR PRADESH'!B26</f>
        <v>64310</v>
      </c>
      <c r="C10" s="8">
        <f>RAJASTHAN!C10+'MADHYA PRADESH'!C10+'UTTAR PRADESH'!C10+'UTTAR PRADESH'!C26</f>
        <v>53941</v>
      </c>
      <c r="D10" s="8">
        <f>RAJASTHAN!D10+'MADHYA PRADESH'!D10+'UTTAR PRADESH'!D10+'UTTAR PRADESH'!D26</f>
        <v>31287</v>
      </c>
      <c r="E10" s="9"/>
      <c r="F10" s="8">
        <f>RAJASTHAN!F10+'MADHYA PRADESH'!F10+'UTTAR PRADESH'!F10+'UTTAR PRADESH'!F26</f>
        <v>4086</v>
      </c>
      <c r="G10" s="20"/>
      <c r="H10" s="10">
        <f t="shared" si="1"/>
        <v>53941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7" t="s">
        <v>17</v>
      </c>
      <c r="B11" s="8">
        <f>RAJASTHAN!B11+'MADHYA PRADESH'!B11+'UTTAR PRADESH'!B11+'UTTAR PRADESH'!B27</f>
        <v>260971</v>
      </c>
      <c r="C11" s="8">
        <f>RAJASTHAN!C11+'MADHYA PRADESH'!C11+'UTTAR PRADESH'!C11+'UTTAR PRADESH'!C27</f>
        <v>260971</v>
      </c>
      <c r="D11" s="8">
        <f>RAJASTHAN!D11+'MADHYA PRADESH'!D11+'UTTAR PRADESH'!D11+'UTTAR PRADESH'!D27</f>
        <v>163505</v>
      </c>
      <c r="E11" s="9"/>
      <c r="F11" s="8">
        <f>RAJASTHAN!F11+'MADHYA PRADESH'!F11+'UTTAR PRADESH'!F11+'UTTAR PRADESH'!F27</f>
        <v>29438</v>
      </c>
      <c r="G11" s="11"/>
      <c r="H11" s="10">
        <f t="shared" si="1"/>
        <v>260971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2" t="s">
        <v>13</v>
      </c>
      <c r="B12" s="13"/>
      <c r="C12" s="13"/>
      <c r="D12" s="13"/>
      <c r="E12" s="21"/>
      <c r="F12" s="13"/>
      <c r="G12" s="21"/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 t="s">
        <v>18</v>
      </c>
      <c r="B13" s="17"/>
      <c r="C13" s="17"/>
      <c r="D13" s="17"/>
      <c r="E13" s="22"/>
      <c r="F13" s="17"/>
      <c r="G13" s="17"/>
      <c r="H13" s="1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23" t="s">
        <v>19</v>
      </c>
      <c r="B14" s="24">
        <v>331875</v>
      </c>
      <c r="C14" s="24">
        <v>245845</v>
      </c>
      <c r="D14" s="24">
        <f>RAJASTHAN!D14+'MADHYA PRADESH'!D14+'UTTAR PRADESH'!D14+'UTTAR PRADESH'!D30</f>
        <v>111237</v>
      </c>
      <c r="E14" s="25"/>
      <c r="F14" s="24">
        <f>RAJASTHAN!F14+'MADHYA PRADESH'!F14+'UTTAR PRADESH'!F14+'UTTAR PRADESH'!F30</f>
        <v>0</v>
      </c>
      <c r="G14" s="25"/>
      <c r="H14" s="26">
        <f>C14-E14</f>
        <v>245845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2" t="s">
        <v>13</v>
      </c>
      <c r="B15" s="27"/>
      <c r="C15" s="27"/>
      <c r="D15" s="27"/>
      <c r="E15" s="28">
        <f>E14/D14</f>
        <v>0</v>
      </c>
      <c r="F15" s="27"/>
      <c r="G15" s="27"/>
      <c r="H15" s="2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0" t="s">
        <v>20</v>
      </c>
      <c r="B16" s="31" t="s">
        <v>21</v>
      </c>
      <c r="C16" s="31" t="s">
        <v>21</v>
      </c>
      <c r="D16" s="31" t="s">
        <v>21</v>
      </c>
      <c r="E16" s="31" t="s">
        <v>22</v>
      </c>
      <c r="F16" s="31" t="s">
        <v>21</v>
      </c>
      <c r="G16" s="31" t="s">
        <v>22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2"/>
      <c r="B17" s="31"/>
      <c r="C17" s="31"/>
      <c r="D17" s="31"/>
      <c r="E17" s="31"/>
      <c r="F17" s="31"/>
      <c r="G17" s="3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33"/>
      <c r="C18" s="33"/>
      <c r="D18" s="1"/>
      <c r="E18" s="1"/>
      <c r="F18" s="1"/>
      <c r="G18" s="3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/>
      <c r="C19" s="1"/>
      <c r="D19" s="1"/>
      <c r="E19" s="1"/>
      <c r="F19" s="3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H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0"/>
  <sheetViews>
    <sheetView showGridLines="0" workbookViewId="0">
      <pane xSplit="1" topLeftCell="B1" activePane="topRight" state="frozen"/>
      <selection pane="topRight" activeCell="A3" sqref="A3"/>
    </sheetView>
  </sheetViews>
  <sheetFormatPr defaultColWidth="14.42578125" defaultRowHeight="15" customHeight="1"/>
  <cols>
    <col min="1" max="1" width="27.140625" customWidth="1"/>
    <col min="2" max="2" width="27.5703125" customWidth="1"/>
    <col min="3" max="3" width="28.85546875" customWidth="1"/>
    <col min="4" max="4" width="19.140625" customWidth="1"/>
    <col min="5" max="5" width="20" customWidth="1"/>
    <col min="6" max="6" width="19.140625" customWidth="1"/>
    <col min="7" max="7" width="25.85546875" customWidth="1"/>
    <col min="8" max="8" width="16" customWidth="1"/>
    <col min="9" max="9" width="22.28515625" customWidth="1"/>
    <col min="10" max="10" width="31.85546875" customWidth="1"/>
    <col min="11" max="14" width="14.42578125" customWidth="1"/>
    <col min="15" max="15" width="20.5703125" customWidth="1"/>
    <col min="16" max="16" width="12.85546875" customWidth="1"/>
    <col min="17" max="17" width="17" customWidth="1"/>
    <col min="18" max="18" width="14.7109375" customWidth="1"/>
    <col min="19" max="19" width="10.85546875" customWidth="1"/>
    <col min="20" max="20" width="8.28515625" customWidth="1"/>
    <col min="21" max="21" width="15.7109375" customWidth="1"/>
    <col min="22" max="22" width="13.42578125" customWidth="1"/>
    <col min="23" max="23" width="16" customWidth="1"/>
    <col min="24" max="24" width="13.7109375" customWidth="1"/>
    <col min="25" max="25" width="9.28515625" customWidth="1"/>
    <col min="26" max="26" width="7" customWidth="1"/>
    <col min="27" max="27" width="10.42578125" customWidth="1"/>
    <col min="28" max="28" width="8.42578125" customWidth="1"/>
    <col min="29" max="29" width="11.42578125" customWidth="1"/>
    <col min="30" max="30" width="12.28515625" customWidth="1"/>
  </cols>
  <sheetData>
    <row r="1" spans="1:30" ht="15.75" customHeight="1">
      <c r="A1" s="235" t="s">
        <v>0</v>
      </c>
      <c r="B1" s="236"/>
      <c r="C1" s="236"/>
      <c r="D1" s="236"/>
      <c r="E1" s="236"/>
      <c r="F1" s="236"/>
      <c r="G1" s="236"/>
      <c r="H1" s="237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ht="15.75" customHeight="1">
      <c r="A2" s="4" t="s">
        <v>9</v>
      </c>
      <c r="B2" s="36" t="s">
        <v>2</v>
      </c>
      <c r="C2" s="37" t="s">
        <v>3</v>
      </c>
      <c r="D2" s="38" t="s">
        <v>4</v>
      </c>
      <c r="E2" s="37" t="s">
        <v>5</v>
      </c>
      <c r="F2" s="36" t="s">
        <v>6</v>
      </c>
      <c r="G2" s="37" t="s">
        <v>7</v>
      </c>
      <c r="H2" s="36" t="s">
        <v>8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</row>
    <row r="3" spans="1:30" ht="15.75" customHeight="1">
      <c r="A3" s="7" t="s">
        <v>10</v>
      </c>
      <c r="B3" s="8">
        <v>35884</v>
      </c>
      <c r="C3" s="10">
        <v>30246</v>
      </c>
      <c r="D3" s="10"/>
      <c r="E3" s="39"/>
      <c r="F3" s="10" t="s">
        <v>23</v>
      </c>
      <c r="G3" s="40"/>
      <c r="H3" s="10">
        <f t="shared" ref="H3:H5" si="0">C3-E3</f>
        <v>30246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</row>
    <row r="4" spans="1:30" ht="15.75" customHeight="1">
      <c r="A4" s="7" t="s">
        <v>11</v>
      </c>
      <c r="B4" s="8">
        <v>31012</v>
      </c>
      <c r="C4" s="10">
        <v>26139</v>
      </c>
      <c r="D4" s="10"/>
      <c r="E4" s="41"/>
      <c r="F4" s="10"/>
      <c r="G4" s="40"/>
      <c r="H4" s="10">
        <f t="shared" si="0"/>
        <v>26139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</row>
    <row r="5" spans="1:30" ht="15.75" customHeight="1">
      <c r="A5" s="7" t="s">
        <v>24</v>
      </c>
      <c r="B5" s="42">
        <v>66896</v>
      </c>
      <c r="C5" s="42">
        <v>56385</v>
      </c>
      <c r="D5" s="8">
        <f>29849+4932</f>
        <v>34781</v>
      </c>
      <c r="E5" s="43"/>
      <c r="F5" s="44">
        <v>4933</v>
      </c>
      <c r="G5" s="40"/>
      <c r="H5" s="10">
        <f t="shared" si="0"/>
        <v>56385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</row>
    <row r="6" spans="1:30" ht="15.75" customHeight="1">
      <c r="A6" s="12" t="s">
        <v>25</v>
      </c>
      <c r="B6" s="12"/>
      <c r="C6" s="12"/>
      <c r="D6" s="12"/>
      <c r="E6" s="45"/>
      <c r="F6" s="12"/>
      <c r="G6" s="45"/>
      <c r="H6" s="12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spans="1:30" ht="15.75" customHeight="1">
      <c r="A7" s="7" t="s">
        <v>26</v>
      </c>
      <c r="B7" s="8" t="s">
        <v>27</v>
      </c>
      <c r="C7" s="8">
        <v>5000</v>
      </c>
      <c r="D7" s="8">
        <v>7729</v>
      </c>
      <c r="E7" s="46"/>
      <c r="F7" s="10" t="s">
        <v>23</v>
      </c>
      <c r="G7" s="10"/>
      <c r="H7" s="10">
        <f>C7-E7</f>
        <v>5000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 spans="1:30" ht="15.75" customHeight="1">
      <c r="A8" s="4" t="s">
        <v>14</v>
      </c>
      <c r="B8" s="17"/>
      <c r="C8" s="18"/>
      <c r="D8" s="18"/>
      <c r="E8" s="18"/>
      <c r="F8" s="17"/>
      <c r="G8" s="18"/>
      <c r="H8" s="17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</row>
    <row r="9" spans="1:30" ht="15.75" customHeight="1">
      <c r="A9" s="7" t="s">
        <v>28</v>
      </c>
      <c r="B9" s="8">
        <v>28457</v>
      </c>
      <c r="C9" s="10">
        <v>26468</v>
      </c>
      <c r="D9" s="44">
        <v>22468</v>
      </c>
      <c r="E9" s="40"/>
      <c r="F9" s="47">
        <v>6219</v>
      </c>
      <c r="G9" s="48"/>
      <c r="H9" s="10">
        <f t="shared" ref="H9:H11" si="1">C9-E9</f>
        <v>26468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</row>
    <row r="10" spans="1:30" ht="15.75" customHeight="1">
      <c r="A10" s="7" t="s">
        <v>16</v>
      </c>
      <c r="B10" s="8">
        <v>21850</v>
      </c>
      <c r="C10" s="10">
        <v>21850</v>
      </c>
      <c r="D10" s="10">
        <f>8465+671</f>
        <v>9136</v>
      </c>
      <c r="E10" s="40"/>
      <c r="F10" s="44">
        <v>672</v>
      </c>
      <c r="G10" s="40"/>
      <c r="H10" s="10">
        <f t="shared" si="1"/>
        <v>21850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</row>
    <row r="11" spans="1:30" ht="15.75" customHeight="1">
      <c r="A11" s="7" t="s">
        <v>17</v>
      </c>
      <c r="B11" s="8">
        <v>102728</v>
      </c>
      <c r="C11" s="8">
        <v>102728</v>
      </c>
      <c r="D11" s="8">
        <f>40470+8667</f>
        <v>49137</v>
      </c>
      <c r="E11" s="20"/>
      <c r="F11" s="47">
        <v>8667</v>
      </c>
      <c r="G11" s="48"/>
      <c r="H11" s="10">
        <f t="shared" si="1"/>
        <v>102728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</row>
    <row r="12" spans="1:30" ht="15.75" customHeight="1">
      <c r="A12" s="12" t="s">
        <v>25</v>
      </c>
      <c r="B12" s="12"/>
      <c r="C12" s="12"/>
      <c r="D12" s="12"/>
      <c r="E12" s="45"/>
      <c r="F12" s="12"/>
      <c r="G12" s="45"/>
      <c r="H12" s="12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</row>
    <row r="13" spans="1:30" ht="15.75" customHeight="1">
      <c r="A13" s="4" t="s">
        <v>18</v>
      </c>
      <c r="B13" s="17"/>
      <c r="C13" s="17"/>
      <c r="D13" s="17"/>
      <c r="E13" s="49"/>
      <c r="F13" s="17"/>
      <c r="G13" s="17"/>
      <c r="H13" s="17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</row>
    <row r="14" spans="1:30" ht="15.75" customHeight="1">
      <c r="A14" s="50" t="s">
        <v>19</v>
      </c>
      <c r="B14" s="42"/>
      <c r="C14" s="8">
        <v>88892</v>
      </c>
      <c r="D14" s="8">
        <v>21089</v>
      </c>
      <c r="E14" s="20"/>
      <c r="F14" s="10">
        <v>0</v>
      </c>
      <c r="G14" s="48"/>
      <c r="H14" s="10">
        <f t="shared" ref="H14:H15" si="2">C14-E14</f>
        <v>88892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</row>
    <row r="15" spans="1:30" ht="15.75" customHeight="1">
      <c r="A15" s="50" t="s">
        <v>29</v>
      </c>
      <c r="B15" s="8">
        <v>19100</v>
      </c>
      <c r="C15" s="10">
        <v>19100</v>
      </c>
      <c r="D15" s="10">
        <v>5880</v>
      </c>
      <c r="E15" s="51"/>
      <c r="F15" s="44">
        <v>1207</v>
      </c>
      <c r="G15" s="52"/>
      <c r="H15" s="10">
        <f t="shared" si="2"/>
        <v>19100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</row>
    <row r="16" spans="1:30" ht="15.75" customHeight="1">
      <c r="A16" s="12" t="s">
        <v>25</v>
      </c>
      <c r="B16" s="12"/>
      <c r="C16" s="12"/>
      <c r="D16" s="12"/>
      <c r="E16" s="53">
        <f>(E14+E15)/(D14+D15)</f>
        <v>0</v>
      </c>
      <c r="F16" s="12"/>
      <c r="G16" s="53">
        <f>SUM(G14:G15)/SUM(F14:F15)</f>
        <v>0</v>
      </c>
      <c r="H16" s="12"/>
      <c r="I16" s="1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</row>
    <row r="17" spans="1:30" ht="15.75" customHeight="1">
      <c r="A17" s="35"/>
      <c r="B17" s="1" t="s">
        <v>30</v>
      </c>
      <c r="C17" s="35"/>
      <c r="D17" s="1" t="s">
        <v>30</v>
      </c>
      <c r="E17" s="35"/>
      <c r="F17" s="1" t="s">
        <v>30</v>
      </c>
      <c r="G17" s="35"/>
      <c r="H17" s="1" t="s">
        <v>30</v>
      </c>
      <c r="I17" s="1" t="s">
        <v>30</v>
      </c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</row>
    <row r="18" spans="1:30" ht="15.75" customHeight="1">
      <c r="A18" s="54" t="s">
        <v>31</v>
      </c>
      <c r="B18" s="238" t="s">
        <v>32</v>
      </c>
      <c r="C18" s="239"/>
      <c r="D18" s="239"/>
      <c r="E18" s="240"/>
      <c r="F18" s="238" t="s">
        <v>33</v>
      </c>
      <c r="G18" s="240"/>
      <c r="H18" s="238" t="s">
        <v>34</v>
      </c>
      <c r="I18" s="240"/>
      <c r="J18" s="55" t="s">
        <v>35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</row>
    <row r="19" spans="1:30" ht="15.75" customHeight="1">
      <c r="A19" s="56"/>
      <c r="B19" s="57" t="s">
        <v>36</v>
      </c>
      <c r="C19" s="57" t="s">
        <v>37</v>
      </c>
      <c r="D19" s="58" t="s">
        <v>38</v>
      </c>
      <c r="E19" s="58" t="s">
        <v>39</v>
      </c>
      <c r="F19" s="57" t="s">
        <v>40</v>
      </c>
      <c r="G19" s="57" t="s">
        <v>41</v>
      </c>
      <c r="H19" s="57" t="s">
        <v>42</v>
      </c>
      <c r="I19" s="57" t="s">
        <v>41</v>
      </c>
      <c r="J19" s="57" t="s">
        <v>43</v>
      </c>
      <c r="K19" s="1"/>
      <c r="L19" s="1"/>
      <c r="M19" s="1"/>
      <c r="N19" s="1"/>
      <c r="O19" s="1"/>
      <c r="P19" s="1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</row>
    <row r="20" spans="1:30" ht="72.75" customHeight="1">
      <c r="A20" s="59"/>
      <c r="B20" s="60" t="s">
        <v>44</v>
      </c>
      <c r="C20" s="61" t="s">
        <v>45</v>
      </c>
      <c r="D20" s="60" t="s">
        <v>46</v>
      </c>
      <c r="E20" s="60" t="s">
        <v>47</v>
      </c>
      <c r="F20" s="60" t="s">
        <v>44</v>
      </c>
      <c r="G20" s="61" t="s">
        <v>48</v>
      </c>
      <c r="H20" s="62" t="s">
        <v>44</v>
      </c>
      <c r="I20" s="61" t="s">
        <v>49</v>
      </c>
      <c r="J20" s="61" t="s">
        <v>50</v>
      </c>
      <c r="K20" s="35"/>
      <c r="L20" s="35"/>
      <c r="M20" s="35"/>
      <c r="N20" s="35"/>
      <c r="O20" s="35"/>
      <c r="P20" s="35"/>
      <c r="Q20" s="35"/>
      <c r="R20" s="63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</row>
    <row r="21" spans="1:30" ht="15.75" customHeight="1">
      <c r="A21" s="64" t="s">
        <v>51</v>
      </c>
      <c r="B21" s="65"/>
      <c r="C21" s="66">
        <v>0.05</v>
      </c>
      <c r="D21" s="67">
        <v>49</v>
      </c>
      <c r="E21" s="68">
        <v>0.96</v>
      </c>
      <c r="F21" s="65">
        <v>0.99</v>
      </c>
      <c r="G21" s="69" t="s">
        <v>52</v>
      </c>
      <c r="H21" s="70">
        <v>0.97</v>
      </c>
      <c r="I21" s="69" t="s">
        <v>53</v>
      </c>
      <c r="J21" s="71" t="s">
        <v>53</v>
      </c>
      <c r="K21" s="35"/>
      <c r="L21" s="35"/>
      <c r="M21" s="35"/>
      <c r="N21" s="35"/>
      <c r="O21" s="35"/>
      <c r="P21" s="72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</row>
    <row r="22" spans="1:30" ht="15.75" customHeight="1">
      <c r="A22" s="64" t="s">
        <v>54</v>
      </c>
      <c r="B22" s="65"/>
      <c r="C22" s="66">
        <v>0.08</v>
      </c>
      <c r="D22" s="67">
        <v>79</v>
      </c>
      <c r="E22" s="68">
        <v>0.99</v>
      </c>
      <c r="F22" s="65">
        <v>1.65</v>
      </c>
      <c r="G22" s="69" t="s">
        <v>52</v>
      </c>
      <c r="H22" s="70">
        <v>1.1000000000000001</v>
      </c>
      <c r="I22" s="69" t="s">
        <v>53</v>
      </c>
      <c r="J22" s="73" t="s">
        <v>55</v>
      </c>
      <c r="K22" s="1"/>
      <c r="L22" s="1"/>
      <c r="M22" s="1"/>
      <c r="N22" s="1"/>
      <c r="O22" s="1"/>
      <c r="P22" s="72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</row>
    <row r="23" spans="1:30" ht="15.75" customHeight="1">
      <c r="A23" s="64" t="s">
        <v>56</v>
      </c>
      <c r="B23" s="65"/>
      <c r="C23" s="66">
        <v>0.01</v>
      </c>
      <c r="D23" s="67">
        <v>50</v>
      </c>
      <c r="E23" s="68">
        <v>1</v>
      </c>
      <c r="F23" s="65">
        <v>1.2</v>
      </c>
      <c r="G23" s="69" t="s">
        <v>52</v>
      </c>
      <c r="H23" s="74" t="s">
        <v>57</v>
      </c>
      <c r="I23" s="75" t="s">
        <v>57</v>
      </c>
      <c r="J23" s="73" t="s">
        <v>55</v>
      </c>
      <c r="K23" s="35"/>
      <c r="L23" s="35"/>
      <c r="M23" s="35"/>
      <c r="N23" s="35"/>
      <c r="O23" s="35"/>
      <c r="P23" s="72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</row>
    <row r="24" spans="1:30" ht="15.75" customHeight="1">
      <c r="A24" s="64" t="s">
        <v>58</v>
      </c>
      <c r="B24" s="65"/>
      <c r="C24" s="66">
        <v>0.13</v>
      </c>
      <c r="D24" s="67">
        <v>74</v>
      </c>
      <c r="E24" s="68">
        <v>1</v>
      </c>
      <c r="F24" s="65">
        <v>0.74</v>
      </c>
      <c r="G24" s="69" t="s">
        <v>52</v>
      </c>
      <c r="H24" s="70">
        <v>0.96</v>
      </c>
      <c r="I24" s="69" t="s">
        <v>53</v>
      </c>
      <c r="J24" s="71" t="s">
        <v>53</v>
      </c>
      <c r="K24" s="1"/>
      <c r="L24" s="1"/>
      <c r="M24" s="1"/>
      <c r="N24" s="1"/>
      <c r="O24" s="1"/>
      <c r="P24" s="72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</row>
    <row r="25" spans="1:30" ht="15.75" customHeight="1">
      <c r="A25" s="64" t="s">
        <v>59</v>
      </c>
      <c r="B25" s="65"/>
      <c r="C25" s="66">
        <v>0.05</v>
      </c>
      <c r="D25" s="67">
        <v>100</v>
      </c>
      <c r="E25" s="68">
        <v>1</v>
      </c>
      <c r="F25" s="65">
        <v>0.59</v>
      </c>
      <c r="G25" s="69" t="s">
        <v>52</v>
      </c>
      <c r="H25" s="70">
        <v>0.91</v>
      </c>
      <c r="I25" s="69" t="s">
        <v>60</v>
      </c>
      <c r="J25" s="71" t="s">
        <v>60</v>
      </c>
      <c r="K25" s="35"/>
      <c r="L25" s="35"/>
      <c r="M25" s="35"/>
      <c r="N25" s="35"/>
      <c r="O25" s="35"/>
      <c r="P25" s="72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</row>
    <row r="26" spans="1:30" ht="15.75" customHeight="1">
      <c r="A26" s="64" t="s">
        <v>61</v>
      </c>
      <c r="B26" s="65"/>
      <c r="C26" s="66">
        <v>0.08</v>
      </c>
      <c r="D26" s="67">
        <v>21</v>
      </c>
      <c r="E26" s="68">
        <v>1</v>
      </c>
      <c r="F26" s="65">
        <v>1.19</v>
      </c>
      <c r="G26" s="69" t="s">
        <v>52</v>
      </c>
      <c r="H26" s="70">
        <v>0.94</v>
      </c>
      <c r="I26" s="69" t="s">
        <v>52</v>
      </c>
      <c r="J26" s="71" t="s">
        <v>53</v>
      </c>
      <c r="K26" s="35"/>
      <c r="L26" s="35"/>
      <c r="M26" s="35"/>
      <c r="N26" s="35"/>
      <c r="O26" s="35"/>
      <c r="P26" s="72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</row>
    <row r="27" spans="1:30" ht="15.75" customHeight="1">
      <c r="A27" s="64" t="s">
        <v>62</v>
      </c>
      <c r="B27" s="65"/>
      <c r="C27" s="66">
        <v>0.05</v>
      </c>
      <c r="D27" s="67">
        <v>61</v>
      </c>
      <c r="E27" s="76">
        <v>0.79</v>
      </c>
      <c r="F27" s="65">
        <v>0.57999999999999996</v>
      </c>
      <c r="G27" s="69" t="s">
        <v>52</v>
      </c>
      <c r="H27" s="70">
        <v>1.07</v>
      </c>
      <c r="I27" s="69" t="s">
        <v>52</v>
      </c>
      <c r="J27" s="71" t="s">
        <v>53</v>
      </c>
      <c r="K27" s="35"/>
      <c r="L27" s="35"/>
      <c r="M27" s="35"/>
      <c r="N27" s="35"/>
      <c r="O27" s="35"/>
      <c r="P27" s="72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</row>
    <row r="28" spans="1:30" ht="15.75" customHeight="1">
      <c r="A28" s="64" t="s">
        <v>63</v>
      </c>
      <c r="B28" s="65"/>
      <c r="C28" s="66">
        <v>0.06</v>
      </c>
      <c r="D28" s="67">
        <v>115</v>
      </c>
      <c r="E28" s="68">
        <v>1</v>
      </c>
      <c r="F28" s="65">
        <v>2.06</v>
      </c>
      <c r="G28" s="69" t="s">
        <v>52</v>
      </c>
      <c r="H28" s="70">
        <v>0.84</v>
      </c>
      <c r="I28" s="69" t="s">
        <v>53</v>
      </c>
      <c r="J28" s="73" t="s">
        <v>55</v>
      </c>
      <c r="K28" s="35"/>
      <c r="L28" s="35"/>
      <c r="M28" s="35"/>
      <c r="N28" s="35"/>
      <c r="O28" s="35"/>
      <c r="P28" s="72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</row>
    <row r="29" spans="1:30" ht="15.75" customHeight="1">
      <c r="A29" s="64" t="s">
        <v>64</v>
      </c>
      <c r="B29" s="65"/>
      <c r="C29" s="66">
        <v>0.08</v>
      </c>
      <c r="D29" s="67">
        <v>59</v>
      </c>
      <c r="E29" s="68">
        <v>0.94</v>
      </c>
      <c r="F29" s="65">
        <v>0.69</v>
      </c>
      <c r="G29" s="69" t="s">
        <v>52</v>
      </c>
      <c r="H29" s="70">
        <v>0.87</v>
      </c>
      <c r="I29" s="69" t="s">
        <v>52</v>
      </c>
      <c r="J29" s="73" t="s">
        <v>55</v>
      </c>
      <c r="K29" s="35"/>
      <c r="L29" s="35"/>
      <c r="M29" s="35"/>
      <c r="N29" s="35"/>
      <c r="O29" s="35"/>
      <c r="P29" s="72"/>
      <c r="Q29" s="35"/>
      <c r="R29" s="35"/>
      <c r="S29" s="35"/>
      <c r="T29" s="35"/>
      <c r="U29" s="35"/>
      <c r="V29" s="1"/>
      <c r="W29" s="35"/>
      <c r="X29" s="35"/>
      <c r="Y29" s="35"/>
      <c r="Z29" s="35"/>
      <c r="AA29" s="35"/>
      <c r="AB29" s="35"/>
      <c r="AC29" s="35"/>
      <c r="AD29" s="35"/>
    </row>
    <row r="30" spans="1:30" ht="15.75" customHeight="1">
      <c r="A30" s="64" t="s">
        <v>65</v>
      </c>
      <c r="B30" s="65"/>
      <c r="C30" s="66">
        <v>0.08</v>
      </c>
      <c r="D30" s="67">
        <v>96</v>
      </c>
      <c r="E30" s="68">
        <v>1</v>
      </c>
      <c r="F30" s="65">
        <v>0.79</v>
      </c>
      <c r="G30" s="69" t="s">
        <v>52</v>
      </c>
      <c r="H30" s="70">
        <v>0.86</v>
      </c>
      <c r="I30" s="69" t="s">
        <v>53</v>
      </c>
      <c r="J30" s="73" t="s">
        <v>55</v>
      </c>
      <c r="K30" s="35"/>
      <c r="L30" s="35"/>
      <c r="M30" s="35"/>
      <c r="N30" s="35"/>
      <c r="O30" s="35"/>
      <c r="P30" s="72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</row>
    <row r="31" spans="1:30" ht="15.75" customHeight="1">
      <c r="A31" s="64" t="s">
        <v>66</v>
      </c>
      <c r="B31" s="65"/>
      <c r="C31" s="77">
        <v>7.0000000000000007E-2</v>
      </c>
      <c r="D31" s="67">
        <v>73</v>
      </c>
      <c r="E31" s="68">
        <v>0.97</v>
      </c>
      <c r="F31" s="65">
        <v>1.08</v>
      </c>
      <c r="G31" s="69" t="s">
        <v>52</v>
      </c>
      <c r="H31" s="70">
        <v>0.96</v>
      </c>
      <c r="I31" s="69" t="s">
        <v>53</v>
      </c>
      <c r="J31" s="73" t="s">
        <v>55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</row>
    <row r="32" spans="1:30" ht="36" customHeight="1">
      <c r="A32" s="78"/>
      <c r="B32" s="79" t="s">
        <v>42</v>
      </c>
      <c r="C32" s="79" t="s">
        <v>67</v>
      </c>
      <c r="D32" s="80" t="s">
        <v>38</v>
      </c>
      <c r="E32" s="80" t="s">
        <v>68</v>
      </c>
      <c r="F32" s="79" t="s">
        <v>42</v>
      </c>
      <c r="G32" s="79" t="s">
        <v>41</v>
      </c>
      <c r="H32" s="81" t="s">
        <v>42</v>
      </c>
      <c r="I32" s="79" t="s">
        <v>41</v>
      </c>
      <c r="J32" s="79" t="s">
        <v>43</v>
      </c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</row>
    <row r="33" spans="1:30" ht="15.75" customHeight="1">
      <c r="A33" s="83" t="s">
        <v>60</v>
      </c>
      <c r="B33" s="84" t="s">
        <v>69</v>
      </c>
      <c r="C33" s="84" t="s">
        <v>70</v>
      </c>
      <c r="D33" s="84" t="s">
        <v>71</v>
      </c>
      <c r="E33" s="84" t="s">
        <v>72</v>
      </c>
      <c r="F33" s="84" t="s">
        <v>69</v>
      </c>
      <c r="G33" s="84" t="s">
        <v>73</v>
      </c>
      <c r="H33" s="84" t="s">
        <v>69</v>
      </c>
      <c r="I33" s="84" t="s">
        <v>74</v>
      </c>
      <c r="J33" s="84" t="s">
        <v>75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</row>
    <row r="34" spans="1:30" ht="15.75" customHeight="1">
      <c r="A34" s="85" t="s">
        <v>53</v>
      </c>
      <c r="B34" s="84" t="s">
        <v>76</v>
      </c>
      <c r="C34" s="84" t="s">
        <v>77</v>
      </c>
      <c r="D34" s="84" t="s">
        <v>78</v>
      </c>
      <c r="E34" s="84" t="s">
        <v>79</v>
      </c>
      <c r="F34" s="84" t="s">
        <v>76</v>
      </c>
      <c r="G34" s="84" t="s">
        <v>80</v>
      </c>
      <c r="H34" s="84" t="s">
        <v>76</v>
      </c>
      <c r="I34" s="84" t="s">
        <v>81</v>
      </c>
      <c r="J34" s="84" t="s">
        <v>82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</row>
    <row r="35" spans="1:30" ht="15.75" customHeight="1">
      <c r="A35" s="86" t="s">
        <v>52</v>
      </c>
      <c r="B35" s="84" t="s">
        <v>83</v>
      </c>
      <c r="C35" s="84" t="s">
        <v>84</v>
      </c>
      <c r="D35" s="84" t="s">
        <v>85</v>
      </c>
      <c r="E35" s="84" t="s">
        <v>86</v>
      </c>
      <c r="F35" s="84" t="s">
        <v>83</v>
      </c>
      <c r="G35" s="84" t="s">
        <v>87</v>
      </c>
      <c r="H35" s="84" t="s">
        <v>83</v>
      </c>
      <c r="I35" s="84" t="s">
        <v>88</v>
      </c>
      <c r="J35" s="84" t="s">
        <v>89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</row>
    <row r="36" spans="1:30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</row>
    <row r="37" spans="1:30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</row>
    <row r="38" spans="1:30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</row>
    <row r="39" spans="1:30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</row>
    <row r="40" spans="1:3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</row>
    <row r="41" spans="1:30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</row>
    <row r="42" spans="1:30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</row>
    <row r="43" spans="1:30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</row>
    <row r="44" spans="1:30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</row>
    <row r="45" spans="1:30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</row>
    <row r="46" spans="1:30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</row>
    <row r="47" spans="1:30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</row>
    <row r="48" spans="1:30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</row>
    <row r="49" spans="1:30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</row>
    <row r="50" spans="1:3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</row>
    <row r="51" spans="1:30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</row>
    <row r="52" spans="1:30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</row>
    <row r="53" spans="1:30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</row>
    <row r="54" spans="1:30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</row>
    <row r="55" spans="1:30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</row>
    <row r="56" spans="1:30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</row>
    <row r="57" spans="1:30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 spans="1:30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</row>
    <row r="59" spans="1:30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</row>
    <row r="60" spans="1:3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</row>
    <row r="61" spans="1:30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</row>
    <row r="62" spans="1:30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</row>
    <row r="63" spans="1:30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</row>
    <row r="64" spans="1:30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</row>
    <row r="65" spans="1:30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</row>
    <row r="66" spans="1:30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</row>
    <row r="67" spans="1:30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</row>
    <row r="68" spans="1:30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</row>
    <row r="69" spans="1:30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</row>
    <row r="70" spans="1:3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</row>
    <row r="71" spans="1:30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</row>
    <row r="72" spans="1:30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</row>
    <row r="73" spans="1:30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</row>
    <row r="74" spans="1:30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</row>
    <row r="75" spans="1:30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</row>
    <row r="76" spans="1:30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</row>
    <row r="77" spans="1:30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</row>
    <row r="78" spans="1:30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</row>
    <row r="79" spans="1:30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</row>
    <row r="80" spans="1:3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</row>
    <row r="81" spans="1:30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</row>
    <row r="82" spans="1:30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</row>
    <row r="83" spans="1:30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</row>
    <row r="84" spans="1:30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</row>
    <row r="85" spans="1:30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</row>
    <row r="86" spans="1:30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</row>
    <row r="87" spans="1:30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</row>
    <row r="88" spans="1:30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</row>
    <row r="89" spans="1:30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</row>
    <row r="90" spans="1:3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</row>
    <row r="91" spans="1:30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</row>
    <row r="92" spans="1:30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</row>
    <row r="93" spans="1:30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</row>
    <row r="94" spans="1:30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</row>
    <row r="95" spans="1:30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</row>
    <row r="96" spans="1:30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</row>
    <row r="97" spans="1:30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</row>
    <row r="98" spans="1:30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</row>
    <row r="99" spans="1:30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</row>
    <row r="100" spans="1:3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</row>
    <row r="101" spans="1:30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</row>
    <row r="102" spans="1:30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</row>
    <row r="103" spans="1:30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</row>
    <row r="104" spans="1:30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</row>
    <row r="105" spans="1:30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</row>
    <row r="106" spans="1:30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</row>
    <row r="107" spans="1:30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</row>
    <row r="108" spans="1:30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</row>
    <row r="109" spans="1:30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</row>
    <row r="110" spans="1:3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</row>
    <row r="111" spans="1:30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</row>
    <row r="112" spans="1:30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</row>
    <row r="113" spans="1:30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</row>
    <row r="114" spans="1:30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</row>
    <row r="115" spans="1:30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</row>
    <row r="116" spans="1:30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</row>
    <row r="117" spans="1:30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</row>
    <row r="118" spans="1:30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</row>
    <row r="119" spans="1:30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</row>
    <row r="120" spans="1:3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</row>
    <row r="121" spans="1:30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</row>
    <row r="122" spans="1:30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</row>
    <row r="123" spans="1:30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</row>
    <row r="124" spans="1:30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</row>
    <row r="125" spans="1:30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</row>
    <row r="126" spans="1:30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</row>
    <row r="127" spans="1:30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</row>
    <row r="128" spans="1:30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</row>
    <row r="129" spans="1:30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</row>
    <row r="130" spans="1: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</row>
    <row r="131" spans="1:30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</row>
    <row r="132" spans="1:30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</row>
    <row r="133" spans="1:30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</row>
    <row r="134" spans="1:30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</row>
    <row r="135" spans="1:30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</row>
    <row r="136" spans="1:30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</row>
    <row r="137" spans="1:30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</row>
    <row r="138" spans="1:30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</row>
    <row r="139" spans="1:30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</row>
    <row r="140" spans="1:3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</row>
    <row r="141" spans="1:30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</row>
    <row r="142" spans="1:30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</row>
    <row r="143" spans="1:30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</row>
    <row r="144" spans="1:30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</row>
    <row r="145" spans="1:30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</row>
    <row r="146" spans="1:30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</row>
    <row r="147" spans="1:30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</row>
    <row r="148" spans="1:30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</row>
    <row r="149" spans="1:30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</row>
    <row r="150" spans="1:3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</row>
    <row r="151" spans="1:30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</row>
    <row r="152" spans="1:30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</row>
    <row r="153" spans="1:30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</row>
    <row r="154" spans="1:30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</row>
    <row r="155" spans="1:30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</row>
    <row r="156" spans="1:30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</row>
    <row r="157" spans="1:30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</row>
    <row r="158" spans="1:30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</row>
    <row r="159" spans="1:30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</row>
    <row r="160" spans="1:3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</row>
    <row r="161" spans="1:30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</row>
    <row r="162" spans="1:30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</row>
    <row r="163" spans="1:30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</row>
    <row r="164" spans="1:30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</row>
    <row r="165" spans="1:30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</row>
    <row r="166" spans="1:30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</row>
    <row r="167" spans="1:30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</row>
    <row r="168" spans="1:30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</row>
    <row r="169" spans="1:30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</row>
    <row r="170" spans="1:3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</row>
    <row r="171" spans="1:30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</row>
    <row r="172" spans="1:30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</row>
    <row r="173" spans="1:30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</row>
    <row r="174" spans="1:30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</row>
    <row r="175" spans="1:30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</row>
    <row r="176" spans="1:30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</row>
    <row r="177" spans="1:30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</row>
    <row r="178" spans="1:30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</row>
    <row r="179" spans="1:30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</row>
    <row r="180" spans="1:3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</row>
    <row r="181" spans="1:30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</row>
    <row r="182" spans="1:30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</row>
    <row r="183" spans="1:30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</row>
    <row r="184" spans="1:30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</row>
    <row r="185" spans="1:30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</row>
    <row r="186" spans="1:30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</row>
    <row r="187" spans="1:30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</row>
    <row r="188" spans="1:30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</row>
    <row r="189" spans="1:30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</row>
    <row r="190" spans="1:3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</row>
    <row r="191" spans="1:30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</row>
    <row r="192" spans="1:30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</row>
    <row r="193" spans="1:30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</row>
    <row r="194" spans="1:30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</row>
    <row r="195" spans="1:30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</row>
    <row r="196" spans="1:30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</row>
    <row r="197" spans="1:30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</row>
    <row r="198" spans="1:30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</row>
    <row r="199" spans="1:30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</row>
    <row r="200" spans="1:3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</row>
    <row r="201" spans="1:30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</row>
    <row r="202" spans="1:30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</row>
    <row r="203" spans="1:30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</row>
    <row r="204" spans="1:30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</row>
    <row r="205" spans="1:30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</row>
    <row r="206" spans="1:30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</row>
    <row r="207" spans="1:30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</row>
    <row r="208" spans="1:30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</row>
    <row r="209" spans="1:30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</row>
    <row r="210" spans="1:3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</row>
    <row r="211" spans="1:30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</row>
    <row r="212" spans="1:30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</row>
    <row r="213" spans="1:30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</row>
    <row r="214" spans="1:30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</row>
    <row r="215" spans="1:30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</row>
    <row r="216" spans="1:30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</row>
    <row r="217" spans="1:30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</row>
    <row r="218" spans="1:30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</row>
    <row r="219" spans="1:30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</row>
    <row r="220" spans="1:3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</row>
    <row r="221" spans="1:30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</row>
    <row r="222" spans="1:30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</row>
    <row r="223" spans="1:30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</row>
    <row r="224" spans="1:30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</row>
    <row r="225" spans="1:30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</row>
    <row r="226" spans="1:30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</row>
    <row r="227" spans="1:30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</row>
    <row r="228" spans="1:30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</row>
    <row r="229" spans="1:30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</row>
    <row r="230" spans="1: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</row>
    <row r="231" spans="1:30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</row>
    <row r="232" spans="1:30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</row>
    <row r="233" spans="1:30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</row>
    <row r="234" spans="1:30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</row>
    <row r="235" spans="1:30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4">
    <mergeCell ref="A1:H1"/>
    <mergeCell ref="B18:E18"/>
    <mergeCell ref="F18:G18"/>
    <mergeCell ref="H18:I18"/>
  </mergeCells>
  <conditionalFormatting sqref="B21:B31 F21:F31 H21:H31 I23">
    <cfRule type="cellIs" dxfId="98" priority="1" operator="lessThan">
      <formula>0.6</formula>
    </cfRule>
  </conditionalFormatting>
  <conditionalFormatting sqref="B21:B31 F21:F31 H21:H31 I23">
    <cfRule type="cellIs" dxfId="97" priority="2" operator="between">
      <formula>0.6</formula>
      <formula>0.8</formula>
    </cfRule>
  </conditionalFormatting>
  <conditionalFormatting sqref="B21:B31 F21:F31 H21:H31 I23">
    <cfRule type="cellIs" dxfId="96" priority="3" operator="greaterThan">
      <formula>0.8</formula>
    </cfRule>
  </conditionalFormatting>
  <conditionalFormatting sqref="I21:I31 J21 H23 J23:J27 J30">
    <cfRule type="containsText" dxfId="95" priority="4" operator="containsText" text="Red">
      <formula>NOT(ISERROR(SEARCH(("Red"),(I21))))</formula>
    </cfRule>
  </conditionalFormatting>
  <conditionalFormatting sqref="I21:I31 J21 H23 J23:J27 J30">
    <cfRule type="containsText" dxfId="94" priority="5" operator="containsText" text="Green">
      <formula>NOT(ISERROR(SEARCH(("Green"),(I21))))</formula>
    </cfRule>
  </conditionalFormatting>
  <conditionalFormatting sqref="I21:I31 J21 H23 J23:J27 J30">
    <cfRule type="containsText" dxfId="93" priority="6" operator="containsText" text="Amber">
      <formula>NOT(ISERROR(SEARCH(("Amber"),(I21))))</formula>
    </cfRule>
  </conditionalFormatting>
  <conditionalFormatting sqref="I21:J31 H23">
    <cfRule type="containsText" dxfId="92" priority="7" operator="containsText" text="Red">
      <formula>NOT(ISERROR(SEARCH(("Red"),(I21))))</formula>
    </cfRule>
  </conditionalFormatting>
  <conditionalFormatting sqref="I21:J31 H23">
    <cfRule type="containsText" dxfId="91" priority="8" operator="containsText" text="Amber">
      <formula>NOT(ISERROR(SEARCH(("Amber"),(I21))))</formula>
    </cfRule>
  </conditionalFormatting>
  <conditionalFormatting sqref="I21:J31 H23">
    <cfRule type="containsText" dxfId="90" priority="9" operator="containsText" text="Green">
      <formula>NOT(ISERROR(SEARCH(("Green"),(I21))))</formula>
    </cfRule>
  </conditionalFormatting>
  <conditionalFormatting sqref="C21:C31">
    <cfRule type="cellIs" dxfId="89" priority="10" operator="greaterThan">
      <formula>0.1</formula>
    </cfRule>
  </conditionalFormatting>
  <conditionalFormatting sqref="C21:C31">
    <cfRule type="cellIs" dxfId="88" priority="11" operator="between">
      <formula>0.079</formula>
      <formula>0.101</formula>
    </cfRule>
  </conditionalFormatting>
  <conditionalFormatting sqref="C21:C31">
    <cfRule type="cellIs" dxfId="87" priority="12" operator="lessThan">
      <formula>0.08</formula>
    </cfRule>
  </conditionalFormatting>
  <conditionalFormatting sqref="D21:D31">
    <cfRule type="cellIs" dxfId="86" priority="13" operator="lessThan">
      <formula>50</formula>
    </cfRule>
  </conditionalFormatting>
  <conditionalFormatting sqref="D21:D31">
    <cfRule type="cellIs" dxfId="85" priority="14" operator="between">
      <formula>49.9</formula>
      <formula>80.1</formula>
    </cfRule>
  </conditionalFormatting>
  <conditionalFormatting sqref="D21:D31">
    <cfRule type="cellIs" dxfId="84" priority="15" operator="greaterThan">
      <formula>80</formula>
    </cfRule>
  </conditionalFormatting>
  <conditionalFormatting sqref="E21:E31">
    <cfRule type="cellIs" dxfId="83" priority="16" operator="greaterThan">
      <formula>0.9</formula>
    </cfRule>
  </conditionalFormatting>
  <conditionalFormatting sqref="E21:E31">
    <cfRule type="cellIs" dxfId="82" priority="17" operator="between">
      <formula>0.6</formula>
      <formula>0.9</formula>
    </cfRule>
  </conditionalFormatting>
  <conditionalFormatting sqref="E21:E31">
    <cfRule type="cellIs" dxfId="81" priority="18" operator="lessThan">
      <formula>0.6</formula>
    </cfRule>
  </conditionalFormatting>
  <conditionalFormatting sqref="G21:G31">
    <cfRule type="containsText" dxfId="80" priority="19" operator="containsText" text="Red">
      <formula>NOT(ISERROR(SEARCH(("Red"),(G21))))</formula>
    </cfRule>
  </conditionalFormatting>
  <conditionalFormatting sqref="G21:G31">
    <cfRule type="containsText" dxfId="79" priority="20" operator="containsText" text="Green">
      <formula>NOT(ISERROR(SEARCH(("Green"),(G21))))</formula>
    </cfRule>
  </conditionalFormatting>
  <conditionalFormatting sqref="G21:G31">
    <cfRule type="containsText" dxfId="78" priority="21" operator="containsText" text="Amber">
      <formula>NOT(ISERROR(SEARCH(("Amber"),(G21))))</formula>
    </cfRule>
  </conditionalFormatting>
  <conditionalFormatting sqref="G21:G31">
    <cfRule type="containsText" dxfId="77" priority="22" operator="containsText" text="Red">
      <formula>NOT(ISERROR(SEARCH(("Red"),(G21))))</formula>
    </cfRule>
  </conditionalFormatting>
  <conditionalFormatting sqref="G21:G31">
    <cfRule type="containsText" dxfId="76" priority="23" operator="containsText" text="Amber">
      <formula>NOT(ISERROR(SEARCH(("Amber"),(G21))))</formula>
    </cfRule>
  </conditionalFormatting>
  <conditionalFormatting sqref="G21:G31">
    <cfRule type="containsText" dxfId="75" priority="24" operator="containsText" text="Green">
      <formula>NOT(ISERROR(SEARCH(("Green"),(G21))))</formula>
    </cfRule>
  </conditionalFormatting>
  <conditionalFormatting sqref="H23:I23">
    <cfRule type="cellIs" dxfId="74" priority="25" operator="equal">
      <formula>"NA"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01"/>
  <sheetViews>
    <sheetView showGridLines="0" workbookViewId="0">
      <selection activeCell="E4" sqref="E4:E12"/>
    </sheetView>
  </sheetViews>
  <sheetFormatPr defaultColWidth="14.42578125" defaultRowHeight="15" customHeight="1"/>
  <cols>
    <col min="1" max="1" width="27.42578125" customWidth="1"/>
    <col min="2" max="2" width="24.7109375" customWidth="1"/>
    <col min="3" max="3" width="30.42578125" customWidth="1"/>
    <col min="4" max="4" width="25.85546875" customWidth="1"/>
    <col min="5" max="5" width="24" customWidth="1"/>
    <col min="6" max="6" width="24.7109375" customWidth="1"/>
    <col min="7" max="7" width="31.7109375" customWidth="1"/>
    <col min="8" max="8" width="17.7109375" customWidth="1"/>
    <col min="9" max="9" width="22.28515625" customWidth="1"/>
    <col min="10" max="10" width="31.85546875" customWidth="1"/>
    <col min="11" max="14" width="14.42578125" customWidth="1"/>
    <col min="15" max="15" width="10.5703125" customWidth="1"/>
    <col min="16" max="16" width="10.85546875" customWidth="1"/>
    <col min="17" max="17" width="8.28515625" customWidth="1"/>
    <col min="18" max="18" width="17" customWidth="1"/>
    <col min="19" max="19" width="14.7109375" customWidth="1"/>
    <col min="20" max="20" width="8" customWidth="1"/>
    <col min="21" max="21" width="9.7109375" customWidth="1"/>
    <col min="22" max="22" width="16" customWidth="1"/>
    <col min="23" max="23" width="13.7109375" customWidth="1"/>
    <col min="24" max="24" width="9.28515625" customWidth="1"/>
    <col min="25" max="25" width="7" customWidth="1"/>
    <col min="26" max="26" width="10.42578125" customWidth="1"/>
    <col min="27" max="27" width="8.42578125" customWidth="1"/>
    <col min="28" max="28" width="11.42578125" customWidth="1"/>
    <col min="29" max="29" width="12.28515625" customWidth="1"/>
    <col min="30" max="30" width="14.140625" customWidth="1"/>
    <col min="31" max="31" width="13.42578125" customWidth="1"/>
    <col min="32" max="32" width="10.5703125" customWidth="1"/>
  </cols>
  <sheetData>
    <row r="1" spans="1:32" ht="12.75" customHeight="1">
      <c r="A1" s="232" t="s">
        <v>0</v>
      </c>
      <c r="B1" s="233"/>
      <c r="C1" s="233"/>
      <c r="D1" s="233"/>
      <c r="E1" s="233"/>
      <c r="F1" s="233"/>
      <c r="G1" s="233"/>
      <c r="H1" s="2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12.75" customHeight="1">
      <c r="A2" s="87" t="s">
        <v>1</v>
      </c>
      <c r="B2" s="87" t="s">
        <v>2</v>
      </c>
      <c r="C2" s="87" t="s">
        <v>3</v>
      </c>
      <c r="D2" s="87" t="s">
        <v>90</v>
      </c>
      <c r="E2" s="87" t="s">
        <v>5</v>
      </c>
      <c r="F2" s="87" t="s">
        <v>6</v>
      </c>
      <c r="G2" s="87" t="s">
        <v>7</v>
      </c>
      <c r="H2" s="87" t="s">
        <v>8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12.75" customHeight="1">
      <c r="A3" s="88" t="s">
        <v>9</v>
      </c>
      <c r="B3" s="89"/>
      <c r="C3" s="90"/>
      <c r="D3" s="90"/>
      <c r="E3" s="90"/>
      <c r="F3" s="89"/>
      <c r="G3" s="90"/>
      <c r="H3" s="89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12.75" customHeight="1">
      <c r="A4" s="91" t="s">
        <v>10</v>
      </c>
      <c r="B4" s="92">
        <v>99299</v>
      </c>
      <c r="C4" s="93">
        <v>52662</v>
      </c>
      <c r="D4" s="93"/>
      <c r="E4" s="9"/>
      <c r="F4" s="10" t="s">
        <v>23</v>
      </c>
      <c r="G4" s="40">
        <v>393</v>
      </c>
      <c r="H4" s="10">
        <f t="shared" ref="H4:H6" si="0">C4-E4</f>
        <v>52662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ht="12.75" customHeight="1">
      <c r="A5" s="91" t="s">
        <v>11</v>
      </c>
      <c r="B5" s="92">
        <v>109114</v>
      </c>
      <c r="C5" s="93">
        <v>36183</v>
      </c>
      <c r="D5" s="93"/>
      <c r="E5" s="9"/>
      <c r="F5" s="10" t="s">
        <v>23</v>
      </c>
      <c r="G5" s="40">
        <v>610</v>
      </c>
      <c r="H5" s="10">
        <f t="shared" si="0"/>
        <v>36183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 ht="12.75" customHeight="1">
      <c r="A6" s="91" t="s">
        <v>91</v>
      </c>
      <c r="B6" s="92">
        <v>208413</v>
      </c>
      <c r="C6" s="92">
        <v>88845</v>
      </c>
      <c r="D6" s="94">
        <v>68620</v>
      </c>
      <c r="E6" s="48"/>
      <c r="F6" s="93">
        <v>8929</v>
      </c>
      <c r="G6" s="40">
        <v>1003</v>
      </c>
      <c r="H6" s="10">
        <f t="shared" si="0"/>
        <v>88845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ht="12.75" customHeight="1">
      <c r="A7" s="12" t="s">
        <v>25</v>
      </c>
      <c r="B7" s="12"/>
      <c r="C7" s="12"/>
      <c r="D7" s="12"/>
      <c r="E7" s="45"/>
      <c r="F7" s="12"/>
      <c r="G7" s="45">
        <f>G6/F6</f>
        <v>0.11233060813080972</v>
      </c>
      <c r="H7" s="12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 ht="12.75" customHeight="1">
      <c r="A8" s="88" t="s">
        <v>14</v>
      </c>
      <c r="B8" s="89"/>
      <c r="C8" s="90"/>
      <c r="D8" s="90"/>
      <c r="E8" s="95"/>
      <c r="F8" s="89"/>
      <c r="G8" s="95">
        <f>G6/F6</f>
        <v>0.11233060813080972</v>
      </c>
      <c r="H8" s="89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12.75" customHeight="1">
      <c r="A9" s="91" t="s">
        <v>28</v>
      </c>
      <c r="B9" s="92">
        <v>21067</v>
      </c>
      <c r="C9" s="93">
        <v>17342</v>
      </c>
      <c r="D9" s="93">
        <v>10262</v>
      </c>
      <c r="E9" s="9"/>
      <c r="F9" s="96">
        <v>7212</v>
      </c>
      <c r="G9" s="9">
        <v>13</v>
      </c>
      <c r="H9" s="10">
        <f t="shared" ref="H9:H11" si="1">C9-E9</f>
        <v>17342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12.75" customHeight="1">
      <c r="A10" s="91" t="s">
        <v>16</v>
      </c>
      <c r="B10" s="92">
        <v>18520</v>
      </c>
      <c r="C10" s="93">
        <v>16131</v>
      </c>
      <c r="D10" s="93">
        <v>12039</v>
      </c>
      <c r="E10" s="9"/>
      <c r="F10" s="10">
        <v>1170</v>
      </c>
      <c r="G10" s="97">
        <v>7</v>
      </c>
      <c r="H10" s="10">
        <f t="shared" si="1"/>
        <v>16131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ht="12.75" customHeight="1">
      <c r="A11" s="91" t="s">
        <v>17</v>
      </c>
      <c r="B11" s="92">
        <v>87448</v>
      </c>
      <c r="C11" s="93">
        <v>87448</v>
      </c>
      <c r="D11" s="98">
        <v>70355</v>
      </c>
      <c r="E11" s="9"/>
      <c r="F11" s="96">
        <v>12318</v>
      </c>
      <c r="G11" s="41">
        <v>6276</v>
      </c>
      <c r="H11" s="10">
        <f t="shared" si="1"/>
        <v>87448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ht="12.75" customHeight="1">
      <c r="A12" s="12" t="s">
        <v>25</v>
      </c>
      <c r="B12" s="12"/>
      <c r="C12" s="12"/>
      <c r="D12" s="12"/>
      <c r="E12" s="45"/>
      <c r="F12" s="12"/>
      <c r="G12" s="45">
        <f>SUM(G9:G11)/SUM(F9:F11)</f>
        <v>0.3041545893719807</v>
      </c>
      <c r="H12" s="12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ht="12.75" customHeight="1">
      <c r="A13" s="88" t="s">
        <v>18</v>
      </c>
      <c r="B13" s="89"/>
      <c r="C13" s="89"/>
      <c r="D13" s="89"/>
      <c r="E13" s="99"/>
      <c r="F13" s="100"/>
      <c r="G13" s="99"/>
      <c r="H13" s="100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 ht="12.75" customHeight="1">
      <c r="A14" s="101" t="s">
        <v>19</v>
      </c>
      <c r="B14" s="102">
        <v>96575</v>
      </c>
      <c r="C14" s="102">
        <v>49736</v>
      </c>
      <c r="D14" s="102">
        <v>38519</v>
      </c>
      <c r="E14" s="25"/>
      <c r="F14" s="26">
        <v>0</v>
      </c>
      <c r="G14" s="9">
        <v>205</v>
      </c>
      <c r="H14" s="26">
        <f>C14-E14</f>
        <v>49736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 ht="12.75" customHeight="1">
      <c r="A15" s="103" t="s">
        <v>29</v>
      </c>
      <c r="B15" s="104">
        <v>3345</v>
      </c>
      <c r="C15" s="104">
        <v>3345</v>
      </c>
      <c r="D15" s="104">
        <v>935</v>
      </c>
      <c r="E15" s="105"/>
      <c r="F15" s="106">
        <v>935</v>
      </c>
      <c r="G15" s="52">
        <v>0</v>
      </c>
      <c r="H15" s="26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ht="12.75" customHeight="1">
      <c r="A16" s="12" t="s">
        <v>25</v>
      </c>
      <c r="B16" s="12"/>
      <c r="C16" s="12"/>
      <c r="D16" s="12"/>
      <c r="E16" s="45">
        <f>E14/D14</f>
        <v>0</v>
      </c>
      <c r="F16" s="12"/>
      <c r="G16" s="45" t="s">
        <v>57</v>
      </c>
      <c r="H16" s="12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ht="12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ht="12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ht="12.75" customHeight="1">
      <c r="A19" s="107" t="s">
        <v>31</v>
      </c>
      <c r="B19" s="241" t="s">
        <v>32</v>
      </c>
      <c r="C19" s="239"/>
      <c r="D19" s="239"/>
      <c r="E19" s="240"/>
      <c r="F19" s="241" t="s">
        <v>33</v>
      </c>
      <c r="G19" s="240"/>
      <c r="H19" s="241" t="s">
        <v>34</v>
      </c>
      <c r="I19" s="242"/>
      <c r="J19" s="108" t="s">
        <v>35</v>
      </c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53.25" customHeight="1">
      <c r="A20" s="109"/>
      <c r="B20" s="79" t="s">
        <v>36</v>
      </c>
      <c r="C20" s="79" t="s">
        <v>37</v>
      </c>
      <c r="D20" s="110" t="s">
        <v>38</v>
      </c>
      <c r="E20" s="110" t="s">
        <v>39</v>
      </c>
      <c r="F20" s="79" t="s">
        <v>40</v>
      </c>
      <c r="G20" s="79" t="s">
        <v>41</v>
      </c>
      <c r="H20" s="79" t="s">
        <v>42</v>
      </c>
      <c r="I20" s="111" t="s">
        <v>41</v>
      </c>
      <c r="J20" s="107" t="s">
        <v>43</v>
      </c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</row>
    <row r="21" spans="1:32" ht="69.75" customHeight="1">
      <c r="A21" s="59"/>
      <c r="B21" s="60" t="s">
        <v>44</v>
      </c>
      <c r="C21" s="61" t="s">
        <v>92</v>
      </c>
      <c r="D21" s="60" t="s">
        <v>46</v>
      </c>
      <c r="E21" s="60" t="s">
        <v>47</v>
      </c>
      <c r="F21" s="60" t="s">
        <v>44</v>
      </c>
      <c r="G21" s="61" t="s">
        <v>48</v>
      </c>
      <c r="H21" s="60" t="s">
        <v>44</v>
      </c>
      <c r="I21" s="61" t="s">
        <v>49</v>
      </c>
      <c r="J21" s="61" t="s">
        <v>50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18.75" customHeight="1">
      <c r="A22" s="113" t="s">
        <v>93</v>
      </c>
      <c r="B22" s="70"/>
      <c r="C22" s="66">
        <v>0.08</v>
      </c>
      <c r="D22" s="114">
        <v>107</v>
      </c>
      <c r="E22" s="115">
        <v>0.82</v>
      </c>
      <c r="F22" s="70">
        <v>0.76</v>
      </c>
      <c r="G22" s="69" t="s">
        <v>52</v>
      </c>
      <c r="H22" s="70">
        <v>0.77</v>
      </c>
      <c r="I22" s="71" t="s">
        <v>53</v>
      </c>
      <c r="J22" s="73" t="s">
        <v>55</v>
      </c>
      <c r="K22" s="116"/>
      <c r="L22" s="116"/>
      <c r="M22" s="116"/>
      <c r="N22" s="116"/>
      <c r="O22" s="116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72"/>
      <c r="AE22" s="35"/>
      <c r="AF22" s="116"/>
    </row>
    <row r="23" spans="1:32" ht="18.75" customHeight="1">
      <c r="A23" s="117" t="s">
        <v>94</v>
      </c>
      <c r="B23" s="70"/>
      <c r="C23" s="66">
        <v>0.05</v>
      </c>
      <c r="D23" s="114">
        <v>149</v>
      </c>
      <c r="E23" s="115">
        <v>0.76</v>
      </c>
      <c r="F23" s="70">
        <v>1.05</v>
      </c>
      <c r="G23" s="69" t="s">
        <v>52</v>
      </c>
      <c r="H23" s="70">
        <v>1.2</v>
      </c>
      <c r="I23" s="71" t="s">
        <v>53</v>
      </c>
      <c r="J23" s="73" t="s">
        <v>55</v>
      </c>
      <c r="K23" s="116"/>
      <c r="L23" s="116"/>
      <c r="M23" s="116"/>
      <c r="N23" s="116"/>
      <c r="O23" s="116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72"/>
      <c r="AE23" s="35"/>
      <c r="AF23" s="116"/>
    </row>
    <row r="24" spans="1:32" ht="18.75" customHeight="1">
      <c r="A24" s="117" t="s">
        <v>95</v>
      </c>
      <c r="B24" s="70"/>
      <c r="C24" s="66">
        <v>0.03</v>
      </c>
      <c r="D24" s="114">
        <v>92</v>
      </c>
      <c r="E24" s="115">
        <v>0.83</v>
      </c>
      <c r="F24" s="70">
        <v>1.1499999999999999</v>
      </c>
      <c r="G24" s="69" t="s">
        <v>52</v>
      </c>
      <c r="H24" s="118">
        <v>0.99</v>
      </c>
      <c r="I24" s="75" t="s">
        <v>53</v>
      </c>
      <c r="J24" s="73" t="s">
        <v>55</v>
      </c>
      <c r="K24" s="116"/>
      <c r="L24" s="116"/>
      <c r="M24" s="116"/>
      <c r="N24" s="116"/>
      <c r="O24" s="116"/>
      <c r="P24" s="35"/>
      <c r="Q24" s="35"/>
      <c r="R24" s="35"/>
      <c r="S24" s="119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72"/>
      <c r="AE24" s="35"/>
      <c r="AF24" s="116"/>
    </row>
    <row r="25" spans="1:32" ht="18.75" customHeight="1">
      <c r="A25" s="117" t="s">
        <v>96</v>
      </c>
      <c r="B25" s="70"/>
      <c r="C25" s="66">
        <v>0.05</v>
      </c>
      <c r="D25" s="114">
        <v>83</v>
      </c>
      <c r="E25" s="115">
        <v>0.85</v>
      </c>
      <c r="F25" s="70">
        <v>0.91</v>
      </c>
      <c r="G25" s="69" t="s">
        <v>52</v>
      </c>
      <c r="H25" s="70">
        <v>1.05</v>
      </c>
      <c r="I25" s="71" t="s">
        <v>53</v>
      </c>
      <c r="J25" s="71" t="s">
        <v>55</v>
      </c>
      <c r="K25" s="116"/>
      <c r="L25" s="116"/>
      <c r="M25" s="116"/>
      <c r="N25" s="116"/>
      <c r="O25" s="116"/>
      <c r="P25" s="35"/>
      <c r="Q25" s="35"/>
      <c r="R25" s="35"/>
      <c r="S25" s="35"/>
      <c r="T25" s="119"/>
      <c r="U25" s="35"/>
      <c r="V25" s="35"/>
      <c r="W25" s="35"/>
      <c r="X25" s="35"/>
      <c r="Y25" s="35"/>
      <c r="Z25" s="35"/>
      <c r="AA25" s="35"/>
      <c r="AB25" s="35"/>
      <c r="AC25" s="35"/>
      <c r="AD25" s="72"/>
      <c r="AE25" s="35"/>
      <c r="AF25" s="116"/>
    </row>
    <row r="26" spans="1:32" ht="18.75" customHeight="1">
      <c r="A26" s="117" t="s">
        <v>97</v>
      </c>
      <c r="B26" s="70"/>
      <c r="C26" s="66">
        <v>0.06</v>
      </c>
      <c r="D26" s="114">
        <v>192</v>
      </c>
      <c r="E26" s="115">
        <v>1</v>
      </c>
      <c r="F26" s="70">
        <v>1.1200000000000001</v>
      </c>
      <c r="G26" s="69" t="s">
        <v>52</v>
      </c>
      <c r="H26" s="70">
        <v>1.27</v>
      </c>
      <c r="I26" s="71" t="s">
        <v>53</v>
      </c>
      <c r="J26" s="71" t="s">
        <v>55</v>
      </c>
      <c r="K26" s="116"/>
      <c r="L26" s="116"/>
      <c r="M26" s="116"/>
      <c r="N26" s="116"/>
      <c r="O26" s="116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72"/>
      <c r="AE26" s="35"/>
      <c r="AF26" s="116"/>
    </row>
    <row r="27" spans="1:32" ht="18.75" customHeight="1">
      <c r="A27" s="117" t="s">
        <v>98</v>
      </c>
      <c r="B27" s="70"/>
      <c r="C27" s="66">
        <v>0.04</v>
      </c>
      <c r="D27" s="114">
        <v>103</v>
      </c>
      <c r="E27" s="115">
        <v>1</v>
      </c>
      <c r="F27" s="70">
        <v>1.1499999999999999</v>
      </c>
      <c r="G27" s="69" t="s">
        <v>53</v>
      </c>
      <c r="H27" s="70">
        <v>0.62</v>
      </c>
      <c r="I27" s="71" t="s">
        <v>53</v>
      </c>
      <c r="J27" s="71" t="s">
        <v>55</v>
      </c>
      <c r="K27" s="116"/>
      <c r="L27" s="116"/>
      <c r="M27" s="116"/>
      <c r="N27" s="116"/>
      <c r="O27" s="116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72"/>
      <c r="AE27" s="35"/>
      <c r="AF27" s="116"/>
    </row>
    <row r="28" spans="1:32" ht="18.75" customHeight="1">
      <c r="A28" s="120" t="s">
        <v>66</v>
      </c>
      <c r="B28" s="70"/>
      <c r="C28" s="66">
        <v>0.05</v>
      </c>
      <c r="D28" s="114">
        <v>110</v>
      </c>
      <c r="E28" s="121">
        <v>0.84</v>
      </c>
      <c r="F28" s="70">
        <v>1</v>
      </c>
      <c r="G28" s="69" t="s">
        <v>52</v>
      </c>
      <c r="H28" s="70">
        <v>0.92</v>
      </c>
      <c r="I28" s="71" t="s">
        <v>53</v>
      </c>
      <c r="J28" s="71" t="s">
        <v>55</v>
      </c>
      <c r="K28" s="116"/>
      <c r="L28" s="116"/>
      <c r="M28" s="116"/>
      <c r="N28" s="116"/>
      <c r="O28" s="116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ht="40.5" customHeight="1">
      <c r="A29" s="122"/>
      <c r="B29" s="123" t="s">
        <v>36</v>
      </c>
      <c r="C29" s="123" t="s">
        <v>37</v>
      </c>
      <c r="D29" s="123" t="s">
        <v>38</v>
      </c>
      <c r="E29" s="123" t="s">
        <v>68</v>
      </c>
      <c r="F29" s="123" t="s">
        <v>42</v>
      </c>
      <c r="G29" s="123" t="s">
        <v>41</v>
      </c>
      <c r="H29" s="123" t="s">
        <v>42</v>
      </c>
      <c r="I29" s="123" t="s">
        <v>41</v>
      </c>
      <c r="J29" s="124" t="s">
        <v>43</v>
      </c>
      <c r="K29" s="82"/>
      <c r="L29" s="82"/>
      <c r="M29" s="82"/>
      <c r="N29" s="82"/>
      <c r="O29" s="82"/>
      <c r="P29" s="82"/>
      <c r="Q29" s="82"/>
      <c r="R29" s="82"/>
      <c r="S29" s="82"/>
      <c r="T29" s="125"/>
      <c r="U29" s="82"/>
      <c r="V29" s="82"/>
      <c r="W29" s="126"/>
      <c r="X29" s="125"/>
      <c r="Y29" s="125"/>
      <c r="Z29" s="82"/>
      <c r="AA29" s="82"/>
      <c r="AB29" s="82"/>
      <c r="AC29" s="82"/>
      <c r="AD29" s="82"/>
      <c r="AE29" s="82"/>
      <c r="AF29" s="82"/>
    </row>
    <row r="30" spans="1:32" ht="18.75" customHeight="1">
      <c r="A30" s="127" t="s">
        <v>60</v>
      </c>
      <c r="B30" s="113" t="s">
        <v>69</v>
      </c>
      <c r="C30" s="113" t="s">
        <v>70</v>
      </c>
      <c r="D30" s="113" t="s">
        <v>71</v>
      </c>
      <c r="E30" s="113" t="s">
        <v>72</v>
      </c>
      <c r="F30" s="113" t="s">
        <v>69</v>
      </c>
      <c r="G30" s="113" t="s">
        <v>73</v>
      </c>
      <c r="H30" s="113" t="s">
        <v>69</v>
      </c>
      <c r="I30" s="113" t="s">
        <v>74</v>
      </c>
      <c r="J30" s="113" t="s">
        <v>75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128"/>
      <c r="X30" s="35"/>
      <c r="Y30" s="129"/>
      <c r="Z30" s="35"/>
      <c r="AA30" s="35"/>
      <c r="AB30" s="35"/>
      <c r="AC30" s="35"/>
      <c r="AD30" s="35"/>
      <c r="AE30" s="35"/>
      <c r="AF30" s="35"/>
    </row>
    <row r="31" spans="1:32" ht="18.75" customHeight="1">
      <c r="A31" s="130" t="s">
        <v>53</v>
      </c>
      <c r="B31" s="117" t="s">
        <v>76</v>
      </c>
      <c r="C31" s="117" t="s">
        <v>77</v>
      </c>
      <c r="D31" s="117" t="s">
        <v>78</v>
      </c>
      <c r="E31" s="117" t="s">
        <v>79</v>
      </c>
      <c r="F31" s="117" t="s">
        <v>76</v>
      </c>
      <c r="G31" s="117" t="s">
        <v>80</v>
      </c>
      <c r="H31" s="117" t="s">
        <v>76</v>
      </c>
      <c r="I31" s="117" t="s">
        <v>81</v>
      </c>
      <c r="J31" s="117" t="s">
        <v>82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128"/>
      <c r="X31" s="35"/>
      <c r="Y31" s="129"/>
      <c r="Z31" s="35"/>
      <c r="AA31" s="35"/>
      <c r="AB31" s="35"/>
      <c r="AC31" s="35"/>
      <c r="AD31" s="35"/>
      <c r="AE31" s="35"/>
      <c r="AF31" s="35"/>
    </row>
    <row r="32" spans="1:32" ht="18.75" customHeight="1">
      <c r="A32" s="131" t="s">
        <v>52</v>
      </c>
      <c r="B32" s="117" t="s">
        <v>83</v>
      </c>
      <c r="C32" s="117" t="s">
        <v>84</v>
      </c>
      <c r="D32" s="117" t="s">
        <v>85</v>
      </c>
      <c r="E32" s="117" t="s">
        <v>86</v>
      </c>
      <c r="F32" s="117" t="s">
        <v>83</v>
      </c>
      <c r="G32" s="117" t="s">
        <v>87</v>
      </c>
      <c r="H32" s="117" t="s">
        <v>83</v>
      </c>
      <c r="I32" s="117" t="s">
        <v>88</v>
      </c>
      <c r="J32" s="117" t="s">
        <v>89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128"/>
      <c r="X32" s="35"/>
      <c r="Y32" s="129"/>
      <c r="Z32" s="35"/>
      <c r="AA32" s="35"/>
      <c r="AB32" s="35"/>
      <c r="AC32" s="35"/>
      <c r="AD32" s="35"/>
      <c r="AE32" s="35"/>
      <c r="AF32" s="35"/>
    </row>
    <row r="33" spans="1:32" ht="12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128"/>
      <c r="X33" s="35"/>
      <c r="Y33" s="129"/>
      <c r="Z33" s="35"/>
      <c r="AA33" s="35"/>
      <c r="AB33" s="35"/>
      <c r="AC33" s="35"/>
      <c r="AD33" s="35"/>
      <c r="AE33" s="35"/>
      <c r="AF33" s="35"/>
    </row>
    <row r="34" spans="1:32" ht="12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128"/>
      <c r="X34" s="35"/>
      <c r="Y34" s="129"/>
      <c r="Z34" s="35"/>
      <c r="AA34" s="35"/>
      <c r="AB34" s="35"/>
      <c r="AC34" s="35"/>
      <c r="AD34" s="35"/>
      <c r="AE34" s="35"/>
      <c r="AF34" s="35"/>
    </row>
    <row r="35" spans="1:32" ht="12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128"/>
      <c r="X35" s="35"/>
      <c r="Y35" s="129"/>
      <c r="Z35" s="35"/>
      <c r="AA35" s="35"/>
      <c r="AB35" s="35"/>
      <c r="AC35" s="35"/>
      <c r="AD35" s="35"/>
      <c r="AE35" s="35"/>
      <c r="AF35" s="35"/>
    </row>
    <row r="36" spans="1:32" ht="12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ht="12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12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ht="12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ht="12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ht="12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ht="12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12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12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12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12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12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12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12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12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12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12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12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12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12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12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12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12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12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12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12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12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12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12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2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12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12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12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12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12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12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12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1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12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12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12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12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12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12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12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12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12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12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12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12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12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12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spans="1:32" ht="12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</row>
    <row r="90" spans="1:32" ht="12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</row>
    <row r="91" spans="1:32" ht="12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</row>
    <row r="92" spans="1:32" ht="12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</row>
    <row r="93" spans="1:32" ht="12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</row>
    <row r="94" spans="1:32" ht="12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</row>
    <row r="95" spans="1:32" ht="12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</row>
    <row r="96" spans="1:32" ht="12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</row>
    <row r="97" spans="1:32" ht="12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</row>
    <row r="98" spans="1:32" ht="12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</row>
    <row r="99" spans="1:32" ht="12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</row>
    <row r="100" spans="1:32" ht="12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</row>
    <row r="101" spans="1:32" ht="12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</row>
    <row r="102" spans="1:32" ht="12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</row>
    <row r="103" spans="1:32" ht="12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</row>
    <row r="104" spans="1:32" ht="12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</row>
    <row r="105" spans="1:32" ht="12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</row>
    <row r="106" spans="1:32" ht="12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</row>
    <row r="107" spans="1:32" ht="12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</row>
    <row r="108" spans="1:32" ht="12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</row>
    <row r="109" spans="1:32" ht="12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</row>
    <row r="110" spans="1:32" ht="12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</row>
    <row r="111" spans="1:32" ht="12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</row>
    <row r="112" spans="1:32" ht="12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</row>
    <row r="113" spans="1:32" ht="12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</row>
    <row r="114" spans="1:32" ht="12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</row>
    <row r="115" spans="1:32" ht="12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</row>
    <row r="116" spans="1:32" ht="12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</row>
    <row r="117" spans="1:32" ht="12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</row>
    <row r="118" spans="1:32" ht="12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</row>
    <row r="119" spans="1:32" ht="12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</row>
    <row r="120" spans="1:32" ht="12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</row>
    <row r="121" spans="1:32" ht="12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</row>
    <row r="122" spans="1:32" ht="12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</row>
    <row r="123" spans="1:32" ht="12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</row>
    <row r="124" spans="1:32" ht="12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</row>
    <row r="125" spans="1:32" ht="12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</row>
    <row r="126" spans="1:32" ht="12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</row>
    <row r="127" spans="1:32" ht="12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</row>
    <row r="128" spans="1:32" ht="12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</row>
    <row r="129" spans="1:32" ht="12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</row>
    <row r="130" spans="1:32" ht="12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</row>
    <row r="131" spans="1:32" ht="12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</row>
    <row r="132" spans="1:32" ht="12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</row>
    <row r="133" spans="1:32" ht="12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</row>
    <row r="134" spans="1:32" ht="12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</row>
    <row r="135" spans="1:32" ht="12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</row>
    <row r="136" spans="1:32" ht="12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</row>
    <row r="137" spans="1:32" ht="12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</row>
    <row r="138" spans="1:32" ht="12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</row>
    <row r="139" spans="1:32" ht="12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</row>
    <row r="140" spans="1:32" ht="12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</row>
    <row r="141" spans="1:32" ht="12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</row>
    <row r="142" spans="1:32" ht="12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</row>
    <row r="143" spans="1:32" ht="12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</row>
    <row r="144" spans="1:32" ht="12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</row>
    <row r="145" spans="1:32" ht="12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</row>
    <row r="146" spans="1:32" ht="12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</row>
    <row r="147" spans="1:32" ht="12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</row>
    <row r="148" spans="1:32" ht="12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</row>
    <row r="149" spans="1:32" ht="12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</row>
    <row r="150" spans="1:32" ht="12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</row>
    <row r="151" spans="1:32" ht="12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</row>
    <row r="152" spans="1:32" ht="12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</row>
    <row r="153" spans="1:32" ht="12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</row>
    <row r="154" spans="1:32" ht="12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</row>
    <row r="155" spans="1:32" ht="12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</row>
    <row r="156" spans="1:32" ht="12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</row>
    <row r="157" spans="1:32" ht="12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</row>
    <row r="158" spans="1:32" ht="12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</row>
    <row r="159" spans="1:32" ht="12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</row>
    <row r="160" spans="1:32" ht="12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</row>
    <row r="161" spans="1:32" ht="12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</row>
    <row r="162" spans="1:32" ht="12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</row>
    <row r="163" spans="1:32" ht="12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</row>
    <row r="164" spans="1:32" ht="12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</row>
    <row r="165" spans="1:32" ht="12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</row>
    <row r="166" spans="1:32" ht="12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</row>
    <row r="167" spans="1:32" ht="12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</row>
    <row r="168" spans="1:32" ht="12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</row>
    <row r="169" spans="1:32" ht="12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</row>
    <row r="170" spans="1:32" ht="12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</row>
    <row r="171" spans="1:32" ht="12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</row>
    <row r="172" spans="1:32" ht="12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</row>
    <row r="173" spans="1:32" ht="12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</row>
    <row r="174" spans="1:32" ht="12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</row>
    <row r="175" spans="1:32" ht="12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</row>
    <row r="176" spans="1:32" ht="12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</row>
    <row r="177" spans="1:32" ht="12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</row>
    <row r="178" spans="1:32" ht="12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</row>
    <row r="179" spans="1:32" ht="12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</row>
    <row r="180" spans="1:32" ht="12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</row>
    <row r="181" spans="1:32" ht="12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</row>
    <row r="182" spans="1:32" ht="12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</row>
    <row r="183" spans="1:32" ht="12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</row>
    <row r="184" spans="1:32" ht="12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</row>
    <row r="185" spans="1:32" ht="12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</row>
    <row r="186" spans="1:32" ht="12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</row>
    <row r="187" spans="1:32" ht="12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</row>
    <row r="188" spans="1:32" ht="12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</row>
    <row r="189" spans="1:32" ht="12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</row>
    <row r="190" spans="1:32" ht="12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</row>
    <row r="191" spans="1:32" ht="12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</row>
    <row r="192" spans="1:32" ht="12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</row>
    <row r="193" spans="1:32" ht="12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</row>
    <row r="194" spans="1:32" ht="12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</row>
    <row r="195" spans="1:32" ht="12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</row>
    <row r="196" spans="1:32" ht="12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</row>
    <row r="197" spans="1:32" ht="12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</row>
    <row r="198" spans="1:32" ht="12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</row>
    <row r="199" spans="1:32" ht="12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</row>
    <row r="200" spans="1:32" ht="12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</row>
    <row r="201" spans="1:32" ht="12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</row>
    <row r="202" spans="1:32" ht="12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</row>
    <row r="203" spans="1:32" ht="12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</row>
    <row r="204" spans="1:32" ht="12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</row>
    <row r="205" spans="1:32" ht="12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</row>
    <row r="206" spans="1:32" ht="12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</row>
    <row r="207" spans="1:32" ht="12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</row>
    <row r="208" spans="1:32" ht="12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</row>
    <row r="209" spans="1:32" ht="12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</row>
    <row r="210" spans="1:32" ht="12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</row>
    <row r="211" spans="1:32" ht="12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</row>
    <row r="212" spans="1:32" ht="12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</row>
    <row r="213" spans="1:32" ht="12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</row>
    <row r="214" spans="1:32" ht="12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</row>
    <row r="215" spans="1:32" ht="12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</row>
    <row r="216" spans="1:32" ht="12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</row>
    <row r="217" spans="1:32" ht="12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</row>
    <row r="218" spans="1:32" ht="12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</row>
    <row r="219" spans="1:32" ht="12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</row>
    <row r="220" spans="1:32" ht="12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</row>
    <row r="221" spans="1:32" ht="12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</row>
    <row r="222" spans="1:32" ht="12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</row>
    <row r="223" spans="1:32" ht="12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</row>
    <row r="224" spans="1:32" ht="12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</row>
    <row r="225" spans="1:32" ht="12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</row>
    <row r="226" spans="1:32" ht="12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</row>
    <row r="227" spans="1:32" ht="12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</row>
    <row r="228" spans="1:32" ht="12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</row>
    <row r="229" spans="1:32" ht="12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</row>
    <row r="230" spans="1:32" ht="12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</row>
    <row r="231" spans="1:32" ht="12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</row>
    <row r="232" spans="1:32" ht="12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</row>
    <row r="233" spans="1:32" ht="12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</row>
    <row r="234" spans="1:32" ht="12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</row>
    <row r="235" spans="1:32" ht="12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</sheetData>
  <mergeCells count="4">
    <mergeCell ref="A1:H1"/>
    <mergeCell ref="B19:E19"/>
    <mergeCell ref="F19:G19"/>
    <mergeCell ref="H19:I19"/>
  </mergeCells>
  <conditionalFormatting sqref="B22:B28">
    <cfRule type="cellIs" dxfId="73" priority="1" operator="lessThan">
      <formula>0.6</formula>
    </cfRule>
  </conditionalFormatting>
  <conditionalFormatting sqref="B22:B28">
    <cfRule type="cellIs" dxfId="72" priority="2" operator="between">
      <formula>0.6</formula>
      <formula>0.8</formula>
    </cfRule>
  </conditionalFormatting>
  <conditionalFormatting sqref="B22:B28">
    <cfRule type="cellIs" dxfId="71" priority="3" operator="greaterThan">
      <formula>0.8</formula>
    </cfRule>
  </conditionalFormatting>
  <conditionalFormatting sqref="C22:C28">
    <cfRule type="cellIs" dxfId="70" priority="4" operator="greaterThan">
      <formula>0.1</formula>
    </cfRule>
  </conditionalFormatting>
  <conditionalFormatting sqref="C22:C28">
    <cfRule type="cellIs" dxfId="69" priority="5" operator="between">
      <formula>0.079</formula>
      <formula>0.101</formula>
    </cfRule>
  </conditionalFormatting>
  <conditionalFormatting sqref="C22:C28">
    <cfRule type="cellIs" dxfId="68" priority="6" operator="lessThan">
      <formula>0.08</formula>
    </cfRule>
  </conditionalFormatting>
  <conditionalFormatting sqref="D22:D28">
    <cfRule type="cellIs" dxfId="67" priority="7" operator="lessThan">
      <formula>50</formula>
    </cfRule>
  </conditionalFormatting>
  <conditionalFormatting sqref="D22:D28">
    <cfRule type="cellIs" dxfId="66" priority="8" operator="between">
      <formula>49.9</formula>
      <formula>80.1</formula>
    </cfRule>
  </conditionalFormatting>
  <conditionalFormatting sqref="D22:D28">
    <cfRule type="cellIs" dxfId="65" priority="9" operator="greaterThan">
      <formula>80</formula>
    </cfRule>
  </conditionalFormatting>
  <conditionalFormatting sqref="E22:E28">
    <cfRule type="cellIs" dxfId="64" priority="10" operator="greaterThan">
      <formula>0.9</formula>
    </cfRule>
  </conditionalFormatting>
  <conditionalFormatting sqref="E22:E28">
    <cfRule type="cellIs" dxfId="63" priority="11" operator="between">
      <formula>0.6</formula>
      <formula>0.9</formula>
    </cfRule>
  </conditionalFormatting>
  <conditionalFormatting sqref="E22:E28">
    <cfRule type="cellIs" dxfId="62" priority="12" operator="lessThan">
      <formula>0.6</formula>
    </cfRule>
  </conditionalFormatting>
  <conditionalFormatting sqref="F22:F28">
    <cfRule type="cellIs" dxfId="61" priority="13" operator="lessThan">
      <formula>0.6</formula>
    </cfRule>
  </conditionalFormatting>
  <conditionalFormatting sqref="F22:F28">
    <cfRule type="cellIs" dxfId="60" priority="14" operator="between">
      <formula>0.6</formula>
      <formula>0.8</formula>
    </cfRule>
  </conditionalFormatting>
  <conditionalFormatting sqref="F22:F28">
    <cfRule type="cellIs" dxfId="59" priority="15" operator="greaterThan">
      <formula>0.8</formula>
    </cfRule>
  </conditionalFormatting>
  <conditionalFormatting sqref="G22:G28">
    <cfRule type="containsText" dxfId="58" priority="16" operator="containsText" text="Red">
      <formula>NOT(ISERROR(SEARCH(("Red"),(G22))))</formula>
    </cfRule>
  </conditionalFormatting>
  <conditionalFormatting sqref="G22:G28">
    <cfRule type="containsText" dxfId="57" priority="17" operator="containsText" text="Green">
      <formula>NOT(ISERROR(SEARCH(("Green"),(G22))))</formula>
    </cfRule>
  </conditionalFormatting>
  <conditionalFormatting sqref="G22:G28">
    <cfRule type="containsText" dxfId="56" priority="18" operator="containsText" text="Amber">
      <formula>NOT(ISERROR(SEARCH(("Amber"),(G22))))</formula>
    </cfRule>
  </conditionalFormatting>
  <conditionalFormatting sqref="G22:G28">
    <cfRule type="containsText" dxfId="55" priority="19" operator="containsText" text="Red">
      <formula>NOT(ISERROR(SEARCH(("Red"),(G22))))</formula>
    </cfRule>
  </conditionalFormatting>
  <conditionalFormatting sqref="G22:G28">
    <cfRule type="containsText" dxfId="54" priority="20" operator="containsText" text="Amber">
      <formula>NOT(ISERROR(SEARCH(("Amber"),(G22))))</formula>
    </cfRule>
  </conditionalFormatting>
  <conditionalFormatting sqref="G22:G28">
    <cfRule type="containsText" dxfId="53" priority="21" operator="containsText" text="Green">
      <formula>NOT(ISERROR(SEARCH(("Green"),(G22))))</formula>
    </cfRule>
  </conditionalFormatting>
  <conditionalFormatting sqref="H22:H28">
    <cfRule type="cellIs" dxfId="52" priority="22" operator="lessThan">
      <formula>0.6</formula>
    </cfRule>
  </conditionalFormatting>
  <conditionalFormatting sqref="H22:H28">
    <cfRule type="cellIs" dxfId="51" priority="23" operator="between">
      <formula>0.6</formula>
      <formula>0.8</formula>
    </cfRule>
  </conditionalFormatting>
  <conditionalFormatting sqref="H22:H28">
    <cfRule type="cellIs" dxfId="50" priority="24" operator="greaterThan">
      <formula>0.8</formula>
    </cfRule>
  </conditionalFormatting>
  <conditionalFormatting sqref="H24">
    <cfRule type="cellIs" dxfId="49" priority="25" operator="equal">
      <formula>"NA"</formula>
    </cfRule>
  </conditionalFormatting>
  <conditionalFormatting sqref="I22:I28">
    <cfRule type="containsText" dxfId="48" priority="26" operator="containsText" text="Red">
      <formula>NOT(ISERROR(SEARCH(("Red"),(I22))))</formula>
    </cfRule>
  </conditionalFormatting>
  <conditionalFormatting sqref="I22:I28">
    <cfRule type="containsText" dxfId="47" priority="27" operator="containsText" text="Green">
      <formula>NOT(ISERROR(SEARCH(("Green"),(I22))))</formula>
    </cfRule>
  </conditionalFormatting>
  <conditionalFormatting sqref="I22:I28">
    <cfRule type="containsText" dxfId="46" priority="28" operator="containsText" text="Amber">
      <formula>NOT(ISERROR(SEARCH(("Amber"),(I22))))</formula>
    </cfRule>
  </conditionalFormatting>
  <conditionalFormatting sqref="I22:I28">
    <cfRule type="containsText" dxfId="45" priority="29" operator="containsText" text="Red">
      <formula>NOT(ISERROR(SEARCH(("Red"),(I22))))</formula>
    </cfRule>
  </conditionalFormatting>
  <conditionalFormatting sqref="I22:I28">
    <cfRule type="containsText" dxfId="44" priority="30" operator="containsText" text="Amber">
      <formula>NOT(ISERROR(SEARCH(("Amber"),(I22))))</formula>
    </cfRule>
  </conditionalFormatting>
  <conditionalFormatting sqref="I22:I28">
    <cfRule type="containsText" dxfId="43" priority="31" operator="containsText" text="Green">
      <formula>NOT(ISERROR(SEARCH(("Green"),(I22))))</formula>
    </cfRule>
  </conditionalFormatting>
  <conditionalFormatting sqref="J22 J24:J28">
    <cfRule type="containsText" dxfId="42" priority="32" operator="containsText" text="Red">
      <formula>NOT(ISERROR(SEARCH(("Red"),(J22))))</formula>
    </cfRule>
  </conditionalFormatting>
  <conditionalFormatting sqref="J22 J24:J28">
    <cfRule type="containsText" dxfId="41" priority="33" operator="containsText" text="Green">
      <formula>NOT(ISERROR(SEARCH(("Green"),(J22))))</formula>
    </cfRule>
  </conditionalFormatting>
  <conditionalFormatting sqref="J22 J24:J28">
    <cfRule type="containsText" dxfId="40" priority="34" operator="containsText" text="Amber">
      <formula>NOT(ISERROR(SEARCH(("Amber"),(J22))))</formula>
    </cfRule>
  </conditionalFormatting>
  <conditionalFormatting sqref="J22:J28">
    <cfRule type="containsText" dxfId="39" priority="35" operator="containsText" text="Red">
      <formula>NOT(ISERROR(SEARCH(("Red"),(J22))))</formula>
    </cfRule>
  </conditionalFormatting>
  <conditionalFormatting sqref="J22:J28">
    <cfRule type="containsText" dxfId="38" priority="36" operator="containsText" text="Amber">
      <formula>NOT(ISERROR(SEARCH(("Amber"),(J22))))</formula>
    </cfRule>
  </conditionalFormatting>
  <conditionalFormatting sqref="J22:J28">
    <cfRule type="containsText" dxfId="37" priority="37" operator="containsText" text="Green">
      <formula>NOT(ISERROR(SEARCH(("Green"),(J22))))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00"/>
  <sheetViews>
    <sheetView showGridLines="0" workbookViewId="0">
      <selection activeCell="A4" sqref="A4"/>
    </sheetView>
  </sheetViews>
  <sheetFormatPr defaultColWidth="14.42578125" defaultRowHeight="15" customHeight="1"/>
  <cols>
    <col min="1" max="1" width="34.42578125" customWidth="1"/>
    <col min="2" max="2" width="30" customWidth="1"/>
    <col min="3" max="3" width="32.5703125" customWidth="1"/>
    <col min="4" max="4" width="23.85546875" customWidth="1"/>
    <col min="5" max="5" width="17.42578125" customWidth="1"/>
    <col min="6" max="6" width="25.85546875" customWidth="1"/>
    <col min="7" max="7" width="22.42578125" customWidth="1"/>
    <col min="8" max="8" width="14.7109375" customWidth="1"/>
    <col min="9" max="9" width="30.140625" customWidth="1"/>
    <col min="10" max="10" width="16" customWidth="1"/>
    <col min="11" max="32" width="14.42578125" customWidth="1"/>
  </cols>
  <sheetData>
    <row r="1" spans="1:32">
      <c r="A1" s="243" t="s">
        <v>99</v>
      </c>
      <c r="B1" s="236"/>
      <c r="C1" s="236"/>
      <c r="D1" s="236"/>
      <c r="E1" s="236"/>
      <c r="F1" s="236"/>
      <c r="G1" s="237"/>
      <c r="H1" s="132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1"/>
      <c r="AD1" s="1"/>
      <c r="AE1" s="1"/>
      <c r="AF1" s="1"/>
    </row>
    <row r="2" spans="1:32">
      <c r="A2" s="133" t="s">
        <v>1</v>
      </c>
      <c r="B2" s="133" t="s">
        <v>2</v>
      </c>
      <c r="C2" s="133" t="s">
        <v>3</v>
      </c>
      <c r="D2" s="133" t="s">
        <v>100</v>
      </c>
      <c r="E2" s="133" t="s">
        <v>5</v>
      </c>
      <c r="F2" s="133" t="s">
        <v>6</v>
      </c>
      <c r="G2" s="133" t="s">
        <v>7</v>
      </c>
      <c r="H2" s="133" t="s">
        <v>8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1"/>
      <c r="AD2" s="1"/>
      <c r="AE2" s="1"/>
      <c r="AF2" s="1"/>
    </row>
    <row r="3" spans="1:32">
      <c r="A3" s="134" t="s">
        <v>9</v>
      </c>
      <c r="B3" s="135"/>
      <c r="C3" s="135"/>
      <c r="D3" s="135"/>
      <c r="E3" s="135"/>
      <c r="F3" s="135"/>
      <c r="G3" s="135"/>
      <c r="H3" s="1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1"/>
      <c r="AD3" s="1"/>
      <c r="AE3" s="1"/>
      <c r="AF3" s="1"/>
    </row>
    <row r="4" spans="1:32">
      <c r="A4" s="136" t="s">
        <v>10</v>
      </c>
      <c r="B4" s="93">
        <v>67184</v>
      </c>
      <c r="C4" s="93">
        <v>45433</v>
      </c>
      <c r="D4" s="93"/>
      <c r="E4" s="9"/>
      <c r="F4" s="8">
        <v>0</v>
      </c>
      <c r="G4" s="9"/>
      <c r="H4" s="10">
        <f t="shared" ref="H4:H6" si="0">C4-E4</f>
        <v>45433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1"/>
      <c r="AD4" s="1"/>
      <c r="AE4" s="1"/>
      <c r="AF4" s="1"/>
    </row>
    <row r="5" spans="1:32">
      <c r="A5" s="136" t="s">
        <v>11</v>
      </c>
      <c r="B5" s="93">
        <v>59401</v>
      </c>
      <c r="C5" s="93">
        <v>36847</v>
      </c>
      <c r="D5" s="93"/>
      <c r="E5" s="9"/>
      <c r="F5" s="8">
        <v>0</v>
      </c>
      <c r="G5" s="9"/>
      <c r="H5" s="10">
        <f t="shared" si="0"/>
        <v>36847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1"/>
      <c r="AD5" s="1"/>
      <c r="AE5" s="1"/>
      <c r="AF5" s="1"/>
    </row>
    <row r="6" spans="1:32">
      <c r="A6" s="136" t="s">
        <v>101</v>
      </c>
      <c r="B6" s="93">
        <f>SUM(B4:B5)</f>
        <v>126585</v>
      </c>
      <c r="C6" s="93">
        <v>82280</v>
      </c>
      <c r="D6" s="93">
        <v>59141</v>
      </c>
      <c r="E6" s="9"/>
      <c r="F6" s="93">
        <v>4226</v>
      </c>
      <c r="G6" s="9"/>
      <c r="H6" s="10">
        <f t="shared" si="0"/>
        <v>82280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1"/>
      <c r="AD6" s="1"/>
      <c r="AE6" s="1"/>
      <c r="AF6" s="1"/>
    </row>
    <row r="7" spans="1:32">
      <c r="A7" s="12" t="s">
        <v>25</v>
      </c>
      <c r="B7" s="12"/>
      <c r="C7" s="12"/>
      <c r="D7" s="12"/>
      <c r="E7" s="45"/>
      <c r="F7" s="12"/>
      <c r="G7" s="45"/>
      <c r="H7" s="12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1"/>
      <c r="AD7" s="1"/>
      <c r="AE7" s="1"/>
      <c r="AF7" s="1"/>
    </row>
    <row r="8" spans="1:32">
      <c r="A8" s="134" t="s">
        <v>14</v>
      </c>
      <c r="B8" s="135"/>
      <c r="C8" s="135"/>
      <c r="D8" s="135"/>
      <c r="E8" s="137"/>
      <c r="F8" s="135"/>
      <c r="G8" s="138"/>
      <c r="H8" s="1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1"/>
      <c r="AD8" s="1"/>
      <c r="AE8" s="1"/>
      <c r="AF8" s="1"/>
    </row>
    <row r="9" spans="1:32">
      <c r="A9" s="136" t="s">
        <v>28</v>
      </c>
      <c r="B9" s="93">
        <v>25974</v>
      </c>
      <c r="C9" s="93">
        <v>13730</v>
      </c>
      <c r="D9" s="93">
        <v>11556</v>
      </c>
      <c r="E9" s="9"/>
      <c r="F9" s="96">
        <v>2174</v>
      </c>
      <c r="G9" s="9"/>
      <c r="H9" s="10">
        <f t="shared" ref="H9:H11" si="1">C9-E9</f>
        <v>13730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1"/>
      <c r="AD9" s="1"/>
      <c r="AE9" s="1"/>
      <c r="AF9" s="1"/>
    </row>
    <row r="10" spans="1:32">
      <c r="A10" s="136" t="s">
        <v>16</v>
      </c>
      <c r="B10" s="93">
        <v>19980</v>
      </c>
      <c r="C10" s="93">
        <v>13320</v>
      </c>
      <c r="D10" s="93">
        <v>7572</v>
      </c>
      <c r="E10" s="9"/>
      <c r="F10" s="8">
        <v>1634</v>
      </c>
      <c r="G10" s="97"/>
      <c r="H10" s="10">
        <f t="shared" si="1"/>
        <v>13320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1"/>
      <c r="AD10" s="1"/>
      <c r="AE10" s="1"/>
      <c r="AF10" s="1"/>
    </row>
    <row r="11" spans="1:32">
      <c r="A11" s="136" t="s">
        <v>17</v>
      </c>
      <c r="B11" s="93">
        <v>50631</v>
      </c>
      <c r="C11" s="93">
        <v>50631</v>
      </c>
      <c r="D11" s="93">
        <v>35000</v>
      </c>
      <c r="E11" s="139"/>
      <c r="F11" s="8">
        <v>7000</v>
      </c>
      <c r="G11" s="139"/>
      <c r="H11" s="10">
        <f t="shared" si="1"/>
        <v>50631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1"/>
      <c r="AD11" s="1"/>
      <c r="AE11" s="1"/>
      <c r="AF11" s="1"/>
    </row>
    <row r="12" spans="1:32">
      <c r="A12" s="12" t="s">
        <v>25</v>
      </c>
      <c r="B12" s="12"/>
      <c r="C12" s="12"/>
      <c r="D12" s="12"/>
      <c r="E12" s="45"/>
      <c r="F12" s="12"/>
      <c r="G12" s="45"/>
      <c r="H12" s="12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1"/>
      <c r="AD12" s="1"/>
      <c r="AE12" s="1"/>
      <c r="AF12" s="1"/>
    </row>
    <row r="13" spans="1:32">
      <c r="A13" s="134" t="s">
        <v>18</v>
      </c>
      <c r="B13" s="135"/>
      <c r="C13" s="135"/>
      <c r="D13" s="135"/>
      <c r="E13" s="140"/>
      <c r="F13" s="140"/>
      <c r="G13" s="140"/>
      <c r="H13" s="140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1"/>
      <c r="AD13" s="1"/>
      <c r="AE13" s="1"/>
      <c r="AF13" s="1"/>
    </row>
    <row r="14" spans="1:32">
      <c r="A14" s="136" t="s">
        <v>19</v>
      </c>
      <c r="B14" s="93" t="s">
        <v>102</v>
      </c>
      <c r="C14" s="93">
        <v>86248</v>
      </c>
      <c r="D14" s="93">
        <v>41069</v>
      </c>
      <c r="E14" s="9"/>
      <c r="F14" s="8">
        <v>0</v>
      </c>
      <c r="G14" s="9"/>
      <c r="H14" s="10">
        <f>C14-E14</f>
        <v>86248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1"/>
      <c r="AD14" s="1"/>
      <c r="AE14" s="1"/>
      <c r="AF14" s="1"/>
    </row>
    <row r="15" spans="1:32">
      <c r="A15" s="12" t="s">
        <v>25</v>
      </c>
      <c r="B15" s="12"/>
      <c r="C15" s="12"/>
      <c r="D15" s="12"/>
      <c r="E15" s="45">
        <f>E14/D14</f>
        <v>0</v>
      </c>
      <c r="F15" s="12"/>
      <c r="G15" s="45" t="s">
        <v>57</v>
      </c>
      <c r="H15" s="12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1"/>
      <c r="AD15" s="1"/>
      <c r="AE15" s="1"/>
      <c r="AF15" s="1"/>
    </row>
    <row r="16" spans="1:32">
      <c r="A16" s="141"/>
      <c r="B16" s="142"/>
      <c r="C16" s="142"/>
      <c r="D16" s="34"/>
      <c r="E16" s="34"/>
      <c r="F16" s="34"/>
      <c r="G16" s="34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1"/>
      <c r="AD16" s="1"/>
      <c r="AE16" s="1"/>
      <c r="AF16" s="1"/>
    </row>
    <row r="17" spans="1:32">
      <c r="A17" s="244" t="s">
        <v>103</v>
      </c>
      <c r="B17" s="239"/>
      <c r="C17" s="239"/>
      <c r="D17" s="239"/>
      <c r="E17" s="239"/>
      <c r="F17" s="239"/>
      <c r="G17" s="239"/>
      <c r="H17" s="240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1"/>
      <c r="AD17" s="1"/>
      <c r="AE17" s="1"/>
      <c r="AF17" s="1"/>
    </row>
    <row r="18" spans="1:32">
      <c r="A18" s="143" t="s">
        <v>1</v>
      </c>
      <c r="B18" s="143" t="s">
        <v>2</v>
      </c>
      <c r="C18" s="143" t="s">
        <v>3</v>
      </c>
      <c r="D18" s="143" t="s">
        <v>100</v>
      </c>
      <c r="E18" s="143" t="s">
        <v>5</v>
      </c>
      <c r="F18" s="143" t="s">
        <v>6</v>
      </c>
      <c r="G18" s="143" t="s">
        <v>7</v>
      </c>
      <c r="H18" s="143" t="s">
        <v>8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1"/>
      <c r="AD18" s="1"/>
      <c r="AE18" s="1"/>
      <c r="AF18" s="1"/>
    </row>
    <row r="19" spans="1:32">
      <c r="A19" s="144" t="s">
        <v>9</v>
      </c>
      <c r="B19" s="145"/>
      <c r="C19" s="146"/>
      <c r="D19" s="146"/>
      <c r="E19" s="146"/>
      <c r="F19" s="145"/>
      <c r="G19" s="146"/>
      <c r="H19" s="14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1"/>
      <c r="AD19" s="1"/>
      <c r="AE19" s="1"/>
      <c r="AF19" s="1"/>
    </row>
    <row r="20" spans="1:32">
      <c r="A20" s="7" t="s">
        <v>10</v>
      </c>
      <c r="B20" s="92">
        <v>18411</v>
      </c>
      <c r="C20" s="93">
        <v>11018</v>
      </c>
      <c r="D20" s="93"/>
      <c r="E20" s="9"/>
      <c r="F20" s="10">
        <v>0</v>
      </c>
      <c r="G20" s="41"/>
      <c r="H20" s="10">
        <f t="shared" ref="H20:H22" si="2">C20-E20</f>
        <v>11018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1"/>
      <c r="AD20" s="1"/>
      <c r="AE20" s="1"/>
      <c r="AF20" s="1"/>
    </row>
    <row r="21" spans="1:32" ht="15.75" customHeight="1">
      <c r="A21" s="7" t="s">
        <v>11</v>
      </c>
      <c r="B21" s="92">
        <v>12275</v>
      </c>
      <c r="C21" s="93">
        <v>10462</v>
      </c>
      <c r="D21" s="1"/>
      <c r="E21" s="9"/>
      <c r="F21" s="10">
        <v>0</v>
      </c>
      <c r="G21" s="41"/>
      <c r="H21" s="10">
        <f t="shared" si="2"/>
        <v>10462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1"/>
      <c r="AD21" s="1"/>
      <c r="AE21" s="1"/>
      <c r="AF21" s="1"/>
    </row>
    <row r="22" spans="1:32" ht="15.75" customHeight="1">
      <c r="A22" s="7" t="s">
        <v>101</v>
      </c>
      <c r="B22" s="92">
        <v>30686</v>
      </c>
      <c r="C22" s="92">
        <v>21480</v>
      </c>
      <c r="D22" s="98">
        <v>16914</v>
      </c>
      <c r="E22" s="147"/>
      <c r="F22" s="93">
        <v>976</v>
      </c>
      <c r="G22" s="41"/>
      <c r="H22" s="10">
        <f t="shared" si="2"/>
        <v>21480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1"/>
      <c r="AD22" s="1"/>
      <c r="AE22" s="1"/>
      <c r="AF22" s="1"/>
    </row>
    <row r="23" spans="1:32" ht="15.75" customHeight="1">
      <c r="A23" s="12" t="s">
        <v>25</v>
      </c>
      <c r="B23" s="12"/>
      <c r="C23" s="12"/>
      <c r="D23" s="12"/>
      <c r="E23" s="45"/>
      <c r="F23" s="12"/>
      <c r="G23" s="45"/>
      <c r="H23" s="12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1"/>
      <c r="AD23" s="1"/>
      <c r="AE23" s="1"/>
      <c r="AF23" s="1"/>
    </row>
    <row r="24" spans="1:32" ht="15.75" customHeight="1">
      <c r="A24" s="144" t="s">
        <v>14</v>
      </c>
      <c r="B24" s="148"/>
      <c r="C24" s="135"/>
      <c r="D24" s="135"/>
      <c r="E24" s="137"/>
      <c r="F24" s="148"/>
      <c r="G24" s="138"/>
      <c r="H24" s="14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1"/>
      <c r="AD24" s="1"/>
      <c r="AE24" s="1"/>
      <c r="AF24" s="1"/>
    </row>
    <row r="25" spans="1:32" ht="15.75" customHeight="1">
      <c r="A25" s="7" t="s">
        <v>28</v>
      </c>
      <c r="B25" s="92">
        <v>3432</v>
      </c>
      <c r="C25" s="93">
        <v>3432</v>
      </c>
      <c r="D25" s="98">
        <v>3432</v>
      </c>
      <c r="E25" s="9"/>
      <c r="F25" s="149">
        <v>1846</v>
      </c>
      <c r="G25" s="9"/>
      <c r="H25" s="93">
        <f t="shared" ref="H25:H27" si="3">C25-E25</f>
        <v>3432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1"/>
      <c r="AD25" s="1"/>
      <c r="AE25" s="1"/>
      <c r="AF25" s="1"/>
    </row>
    <row r="26" spans="1:32" ht="15.75" customHeight="1">
      <c r="A26" s="7" t="s">
        <v>16</v>
      </c>
      <c r="B26" s="92">
        <v>3960</v>
      </c>
      <c r="C26" s="93">
        <v>2640</v>
      </c>
      <c r="D26" s="98">
        <v>2540</v>
      </c>
      <c r="E26" s="9"/>
      <c r="F26" s="92">
        <v>610</v>
      </c>
      <c r="G26" s="97"/>
      <c r="H26" s="10">
        <f t="shared" si="3"/>
        <v>2640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1"/>
      <c r="AD26" s="1"/>
      <c r="AE26" s="1"/>
      <c r="AF26" s="1"/>
    </row>
    <row r="27" spans="1:32" ht="15.75" customHeight="1">
      <c r="A27" s="7" t="s">
        <v>17</v>
      </c>
      <c r="B27" s="92">
        <v>20164</v>
      </c>
      <c r="C27" s="93">
        <v>20164</v>
      </c>
      <c r="D27" s="98">
        <v>9013</v>
      </c>
      <c r="E27" s="9"/>
      <c r="F27" s="1">
        <v>1453</v>
      </c>
      <c r="G27" s="147"/>
      <c r="H27" s="10">
        <f t="shared" si="3"/>
        <v>20164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1"/>
      <c r="AD27" s="1"/>
      <c r="AE27" s="1"/>
      <c r="AF27" s="1"/>
    </row>
    <row r="28" spans="1:32" ht="15.75" customHeight="1">
      <c r="A28" s="12" t="s">
        <v>25</v>
      </c>
      <c r="B28" s="12"/>
      <c r="C28" s="12"/>
      <c r="D28" s="12"/>
      <c r="E28" s="45"/>
      <c r="F28" s="12"/>
      <c r="G28" s="45"/>
      <c r="H28" s="12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1"/>
      <c r="AD28" s="1"/>
      <c r="AE28" s="1"/>
      <c r="AF28" s="1"/>
    </row>
    <row r="29" spans="1:32" ht="15.75" customHeight="1">
      <c r="A29" s="144" t="s">
        <v>18</v>
      </c>
      <c r="B29" s="148"/>
      <c r="C29" s="148"/>
      <c r="D29" s="148"/>
      <c r="E29" s="140"/>
      <c r="F29" s="150"/>
      <c r="G29" s="140"/>
      <c r="H29" s="151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1"/>
      <c r="AD29" s="1"/>
      <c r="AE29" s="1"/>
      <c r="AF29" s="1"/>
    </row>
    <row r="30" spans="1:32" ht="15.75" customHeight="1">
      <c r="A30" s="7" t="s">
        <v>19</v>
      </c>
      <c r="B30" s="92">
        <v>28935</v>
      </c>
      <c r="C30" s="92">
        <v>974</v>
      </c>
      <c r="D30" s="92">
        <v>10560</v>
      </c>
      <c r="E30" s="9"/>
      <c r="F30" s="92">
        <v>0</v>
      </c>
      <c r="G30" s="9">
        <v>9</v>
      </c>
      <c r="H30" s="10">
        <f>C30-E30</f>
        <v>974</v>
      </c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1"/>
      <c r="AD30" s="1"/>
      <c r="AE30" s="1"/>
      <c r="AF30" s="1"/>
    </row>
    <row r="31" spans="1:32" ht="15.75" customHeight="1">
      <c r="A31" s="12" t="s">
        <v>25</v>
      </c>
      <c r="B31" s="12"/>
      <c r="C31" s="12"/>
      <c r="D31" s="12"/>
      <c r="E31" s="45">
        <f>E30/D30</f>
        <v>0</v>
      </c>
      <c r="F31" s="12"/>
      <c r="G31" s="152" t="s">
        <v>57</v>
      </c>
      <c r="H31" s="12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1"/>
      <c r="AD31" s="1"/>
      <c r="AE31" s="1"/>
      <c r="AF31" s="1"/>
    </row>
    <row r="32" spans="1: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1"/>
      <c r="AD32" s="1"/>
      <c r="AE32" s="1"/>
      <c r="AF32" s="1"/>
    </row>
    <row r="33" spans="1:32" ht="15.75" customHeight="1">
      <c r="A33" s="107" t="s">
        <v>31</v>
      </c>
      <c r="B33" s="241" t="s">
        <v>32</v>
      </c>
      <c r="C33" s="239"/>
      <c r="D33" s="239"/>
      <c r="E33" s="240"/>
      <c r="F33" s="241" t="s">
        <v>33</v>
      </c>
      <c r="G33" s="240"/>
      <c r="H33" s="241" t="s">
        <v>34</v>
      </c>
      <c r="I33" s="240"/>
      <c r="J33" s="153" t="s">
        <v>35</v>
      </c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</row>
    <row r="34" spans="1:32" ht="15.75" customHeight="1">
      <c r="A34" s="109"/>
      <c r="B34" s="79" t="s">
        <v>36</v>
      </c>
      <c r="C34" s="79" t="s">
        <v>37</v>
      </c>
      <c r="D34" s="110" t="s">
        <v>38</v>
      </c>
      <c r="E34" s="110" t="s">
        <v>39</v>
      </c>
      <c r="F34" s="79" t="s">
        <v>40</v>
      </c>
      <c r="G34" s="79" t="s">
        <v>41</v>
      </c>
      <c r="H34" s="79" t="s">
        <v>42</v>
      </c>
      <c r="I34" s="79" t="s">
        <v>41</v>
      </c>
      <c r="J34" s="79" t="s">
        <v>43</v>
      </c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</row>
    <row r="35" spans="1:32" ht="15.75" customHeight="1">
      <c r="A35" s="59"/>
      <c r="B35" s="60" t="s">
        <v>44</v>
      </c>
      <c r="C35" s="61" t="s">
        <v>92</v>
      </c>
      <c r="D35" s="60" t="s">
        <v>46</v>
      </c>
      <c r="E35" s="60" t="s">
        <v>47</v>
      </c>
      <c r="F35" s="60" t="s">
        <v>44</v>
      </c>
      <c r="G35" s="61" t="s">
        <v>48</v>
      </c>
      <c r="H35" s="60" t="s">
        <v>44</v>
      </c>
      <c r="I35" s="61" t="s">
        <v>49</v>
      </c>
      <c r="J35" s="61" t="s">
        <v>50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1"/>
    </row>
    <row r="36" spans="1:32" ht="15.75" customHeight="1">
      <c r="A36" s="154" t="s">
        <v>104</v>
      </c>
      <c r="B36" s="155"/>
      <c r="C36" s="156">
        <v>0.04</v>
      </c>
      <c r="D36" s="157">
        <v>107</v>
      </c>
      <c r="E36" s="158">
        <v>0.99</v>
      </c>
      <c r="F36" s="155">
        <v>0.96</v>
      </c>
      <c r="G36" s="159" t="s">
        <v>52</v>
      </c>
      <c r="H36" s="155">
        <v>1</v>
      </c>
      <c r="I36" s="159" t="s">
        <v>52</v>
      </c>
      <c r="J36" s="160" t="s">
        <v>55</v>
      </c>
      <c r="K36" s="116"/>
      <c r="L36" s="116"/>
      <c r="M36" s="116"/>
      <c r="N36" s="116"/>
      <c r="O36" s="116"/>
      <c r="P36" s="35"/>
      <c r="Q36" s="72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1"/>
      <c r="AC36" s="35"/>
      <c r="AD36" s="72"/>
      <c r="AE36" s="1"/>
      <c r="AF36" s="35"/>
    </row>
    <row r="37" spans="1:32" ht="15.75" customHeight="1">
      <c r="A37" s="161" t="s">
        <v>105</v>
      </c>
      <c r="B37" s="70"/>
      <c r="C37" s="162">
        <v>7.0000000000000007E-2</v>
      </c>
      <c r="D37" s="114">
        <v>63</v>
      </c>
      <c r="E37" s="115">
        <v>1</v>
      </c>
      <c r="F37" s="70">
        <v>0.25</v>
      </c>
      <c r="G37" s="69" t="s">
        <v>53</v>
      </c>
      <c r="H37" s="70">
        <v>1.18</v>
      </c>
      <c r="I37" s="69" t="s">
        <v>53</v>
      </c>
      <c r="J37" s="163" t="s">
        <v>53</v>
      </c>
      <c r="K37" s="116"/>
      <c r="L37" s="116"/>
      <c r="M37" s="116"/>
      <c r="N37" s="116"/>
      <c r="O37" s="116"/>
      <c r="P37" s="35"/>
      <c r="Q37" s="72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72"/>
      <c r="AE37" s="1"/>
      <c r="AF37" s="35"/>
    </row>
    <row r="38" spans="1:32" ht="15.75" customHeight="1">
      <c r="A38" s="161" t="s">
        <v>106</v>
      </c>
      <c r="B38" s="70"/>
      <c r="C38" s="162">
        <v>0.09</v>
      </c>
      <c r="D38" s="114">
        <v>21</v>
      </c>
      <c r="E38" s="115">
        <v>1</v>
      </c>
      <c r="F38" s="70">
        <v>0.04</v>
      </c>
      <c r="G38" s="69" t="s">
        <v>57</v>
      </c>
      <c r="H38" s="118">
        <v>1.04</v>
      </c>
      <c r="I38" s="74" t="s">
        <v>53</v>
      </c>
      <c r="J38" s="164" t="s">
        <v>60</v>
      </c>
      <c r="K38" s="116"/>
      <c r="L38" s="116"/>
      <c r="M38" s="116"/>
      <c r="N38" s="116"/>
      <c r="O38" s="116"/>
      <c r="P38" s="35"/>
      <c r="Q38" s="72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72"/>
      <c r="AE38" s="1"/>
      <c r="AF38" s="35"/>
    </row>
    <row r="39" spans="1:32" ht="15.75" customHeight="1">
      <c r="A39" s="161" t="s">
        <v>107</v>
      </c>
      <c r="B39" s="70"/>
      <c r="C39" s="162">
        <v>0.1</v>
      </c>
      <c r="D39" s="114">
        <v>70</v>
      </c>
      <c r="E39" s="115">
        <v>1</v>
      </c>
      <c r="F39" s="70">
        <v>0.18</v>
      </c>
      <c r="G39" s="69" t="s">
        <v>53</v>
      </c>
      <c r="H39" s="70">
        <v>1.0900000000000001</v>
      </c>
      <c r="I39" s="69" t="s">
        <v>52</v>
      </c>
      <c r="J39" s="164" t="s">
        <v>53</v>
      </c>
      <c r="K39" s="116"/>
      <c r="L39" s="116"/>
      <c r="M39" s="116"/>
      <c r="N39" s="116"/>
      <c r="O39" s="116"/>
      <c r="P39" s="35"/>
      <c r="Q39" s="72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72"/>
      <c r="AE39" s="1"/>
      <c r="AF39" s="35"/>
    </row>
    <row r="40" spans="1:32" ht="15.75" customHeight="1">
      <c r="A40" s="161" t="s">
        <v>108</v>
      </c>
      <c r="B40" s="70"/>
      <c r="C40" s="162">
        <v>7.0000000000000007E-2</v>
      </c>
      <c r="D40" s="114">
        <v>90</v>
      </c>
      <c r="E40" s="165">
        <v>1</v>
      </c>
      <c r="F40" s="70">
        <v>1.25</v>
      </c>
      <c r="G40" s="69" t="s">
        <v>60</v>
      </c>
      <c r="H40" s="166">
        <f>11122/10560</f>
        <v>1.053219696969697</v>
      </c>
      <c r="I40" s="69" t="s">
        <v>53</v>
      </c>
      <c r="J40" s="164" t="s">
        <v>53</v>
      </c>
      <c r="K40" s="116"/>
      <c r="L40" s="116"/>
      <c r="M40" s="116"/>
      <c r="N40" s="116"/>
      <c r="O40" s="116"/>
      <c r="P40" s="119"/>
      <c r="Q40" s="72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72"/>
      <c r="AE40" s="1"/>
      <c r="AF40" s="35"/>
    </row>
    <row r="41" spans="1:32" ht="15.75" customHeight="1">
      <c r="A41" s="167" t="s">
        <v>66</v>
      </c>
      <c r="B41" s="168"/>
      <c r="C41" s="169">
        <v>7.0000000000000007E-2</v>
      </c>
      <c r="D41" s="170">
        <v>74</v>
      </c>
      <c r="E41" s="171">
        <v>1</v>
      </c>
      <c r="F41" s="168">
        <v>0.87</v>
      </c>
      <c r="G41" s="172" t="s">
        <v>60</v>
      </c>
      <c r="H41" s="168">
        <v>1.07</v>
      </c>
      <c r="I41" s="172" t="s">
        <v>53</v>
      </c>
      <c r="J41" s="173" t="s">
        <v>53</v>
      </c>
      <c r="K41" s="116"/>
      <c r="L41" s="116"/>
      <c r="M41" s="116"/>
      <c r="N41" s="116"/>
      <c r="O41" s="116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174"/>
      <c r="AE41" s="35"/>
      <c r="AF41" s="35"/>
    </row>
    <row r="42" spans="1:32" ht="15.75" customHeight="1">
      <c r="A42" s="175"/>
      <c r="B42" s="57" t="s">
        <v>36</v>
      </c>
      <c r="C42" s="176" t="s">
        <v>67</v>
      </c>
      <c r="D42" s="57" t="s">
        <v>38</v>
      </c>
      <c r="E42" s="176" t="s">
        <v>68</v>
      </c>
      <c r="F42" s="57" t="s">
        <v>42</v>
      </c>
      <c r="G42" s="176" t="s">
        <v>41</v>
      </c>
      <c r="H42" s="57" t="s">
        <v>42</v>
      </c>
      <c r="I42" s="57" t="s">
        <v>41</v>
      </c>
      <c r="J42" s="57" t="s">
        <v>43</v>
      </c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</row>
    <row r="43" spans="1:32" ht="15.75" customHeight="1">
      <c r="A43" s="83" t="s">
        <v>60</v>
      </c>
      <c r="B43" s="84" t="s">
        <v>69</v>
      </c>
      <c r="C43" s="84" t="s">
        <v>70</v>
      </c>
      <c r="D43" s="84" t="s">
        <v>71</v>
      </c>
      <c r="E43" s="84" t="s">
        <v>72</v>
      </c>
      <c r="F43" s="84" t="s">
        <v>69</v>
      </c>
      <c r="G43" s="84" t="s">
        <v>73</v>
      </c>
      <c r="H43" s="84" t="s">
        <v>69</v>
      </c>
      <c r="I43" s="84" t="s">
        <v>74</v>
      </c>
      <c r="J43" s="84" t="s">
        <v>75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15.75" customHeight="1">
      <c r="A44" s="85" t="s">
        <v>53</v>
      </c>
      <c r="B44" s="84" t="s">
        <v>76</v>
      </c>
      <c r="C44" s="84" t="s">
        <v>77</v>
      </c>
      <c r="D44" s="84" t="s">
        <v>78</v>
      </c>
      <c r="E44" s="84" t="s">
        <v>79</v>
      </c>
      <c r="F44" s="84" t="s">
        <v>76</v>
      </c>
      <c r="G44" s="84" t="s">
        <v>80</v>
      </c>
      <c r="H44" s="84" t="s">
        <v>76</v>
      </c>
      <c r="I44" s="84" t="s">
        <v>81</v>
      </c>
      <c r="J44" s="84" t="s">
        <v>82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15.75" customHeight="1">
      <c r="A45" s="86" t="s">
        <v>52</v>
      </c>
      <c r="B45" s="84" t="s">
        <v>83</v>
      </c>
      <c r="C45" s="84" t="s">
        <v>84</v>
      </c>
      <c r="D45" s="84" t="s">
        <v>85</v>
      </c>
      <c r="E45" s="84" t="s">
        <v>86</v>
      </c>
      <c r="F45" s="84" t="s">
        <v>83</v>
      </c>
      <c r="G45" s="84" t="s">
        <v>87</v>
      </c>
      <c r="H45" s="84" t="s">
        <v>83</v>
      </c>
      <c r="I45" s="84" t="s">
        <v>88</v>
      </c>
      <c r="J45" s="84" t="s">
        <v>89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spans="1:32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</row>
    <row r="90" spans="1:32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</row>
    <row r="91" spans="1:32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</row>
    <row r="92" spans="1:3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</row>
    <row r="93" spans="1:32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</row>
    <row r="94" spans="1:32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</row>
    <row r="95" spans="1:32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</row>
    <row r="96" spans="1:32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</row>
    <row r="97" spans="1:32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</row>
    <row r="98" spans="1:32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</row>
    <row r="99" spans="1:32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</row>
    <row r="100" spans="1:32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</row>
    <row r="101" spans="1:32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</row>
    <row r="102" spans="1:3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</row>
    <row r="103" spans="1:32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</row>
    <row r="104" spans="1:32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</row>
    <row r="105" spans="1:32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</row>
    <row r="106" spans="1:32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</row>
    <row r="107" spans="1:32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</row>
    <row r="108" spans="1:32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</row>
    <row r="109" spans="1:32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</row>
    <row r="110" spans="1:32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</row>
    <row r="111" spans="1:32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</row>
    <row r="112" spans="1:3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</row>
    <row r="113" spans="1:32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</row>
    <row r="114" spans="1:32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</row>
    <row r="115" spans="1:32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</row>
    <row r="116" spans="1:32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</row>
    <row r="117" spans="1:32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</row>
    <row r="118" spans="1:32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</row>
    <row r="119" spans="1:32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</row>
    <row r="120" spans="1:32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</row>
    <row r="121" spans="1:32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</row>
    <row r="122" spans="1:3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</row>
    <row r="123" spans="1:32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</row>
    <row r="124" spans="1:32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</row>
    <row r="125" spans="1:32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</row>
    <row r="126" spans="1:32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</row>
    <row r="127" spans="1:32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</row>
    <row r="128" spans="1:32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</row>
    <row r="129" spans="1:32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</row>
    <row r="130" spans="1:32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</row>
    <row r="131" spans="1:32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</row>
    <row r="132" spans="1: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</row>
    <row r="133" spans="1:32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</row>
    <row r="134" spans="1:32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</row>
    <row r="135" spans="1:32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</row>
    <row r="136" spans="1:32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</row>
    <row r="137" spans="1:32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</row>
    <row r="138" spans="1:32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</row>
    <row r="139" spans="1:32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</row>
    <row r="140" spans="1:32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</row>
    <row r="141" spans="1:32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</row>
    <row r="142" spans="1:3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</row>
    <row r="143" spans="1:32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</row>
    <row r="144" spans="1:32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</row>
    <row r="145" spans="1:32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</row>
    <row r="146" spans="1:32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</row>
    <row r="147" spans="1:32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</row>
    <row r="148" spans="1:32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</row>
    <row r="149" spans="1:32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</row>
    <row r="150" spans="1:32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</row>
    <row r="151" spans="1:32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</row>
    <row r="152" spans="1:3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</row>
    <row r="153" spans="1:32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</row>
    <row r="154" spans="1:32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</row>
    <row r="155" spans="1:32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</row>
    <row r="156" spans="1:32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</row>
    <row r="157" spans="1:32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</row>
    <row r="158" spans="1:32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</row>
    <row r="159" spans="1:32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</row>
    <row r="160" spans="1:32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</row>
    <row r="161" spans="1:32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</row>
    <row r="162" spans="1:3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</row>
    <row r="163" spans="1:32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</row>
    <row r="164" spans="1:32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</row>
    <row r="165" spans="1:32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</row>
    <row r="166" spans="1:32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</row>
    <row r="167" spans="1:32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</row>
    <row r="168" spans="1:32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</row>
    <row r="169" spans="1:32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</row>
    <row r="170" spans="1:32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</row>
    <row r="171" spans="1:32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</row>
    <row r="172" spans="1:3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</row>
    <row r="173" spans="1:32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</row>
    <row r="174" spans="1:32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</row>
    <row r="175" spans="1:32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</row>
    <row r="176" spans="1:32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</row>
    <row r="177" spans="1:32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</row>
    <row r="178" spans="1:32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</row>
    <row r="179" spans="1:32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</row>
    <row r="180" spans="1:32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</row>
    <row r="181" spans="1:32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</row>
    <row r="182" spans="1:3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</row>
    <row r="183" spans="1:32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</row>
    <row r="184" spans="1:32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</row>
    <row r="185" spans="1:32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</row>
    <row r="186" spans="1:32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</row>
    <row r="187" spans="1:32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</row>
    <row r="188" spans="1:32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</row>
    <row r="189" spans="1:32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</row>
    <row r="190" spans="1:32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</row>
    <row r="191" spans="1:32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</row>
    <row r="192" spans="1:3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</row>
    <row r="193" spans="1:32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</row>
    <row r="194" spans="1:32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</row>
    <row r="195" spans="1:32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</row>
    <row r="196" spans="1:32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</row>
    <row r="197" spans="1:32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</row>
    <row r="198" spans="1:32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</row>
    <row r="199" spans="1:32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</row>
    <row r="200" spans="1:32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</row>
    <row r="201" spans="1:32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</row>
    <row r="202" spans="1:3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</row>
    <row r="203" spans="1:32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</row>
    <row r="204" spans="1:32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</row>
    <row r="205" spans="1:32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</row>
    <row r="206" spans="1:32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</row>
    <row r="207" spans="1:32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</row>
    <row r="208" spans="1:32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</row>
    <row r="209" spans="1:32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</row>
    <row r="210" spans="1:32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</row>
    <row r="211" spans="1:32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</row>
    <row r="212" spans="1:3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</row>
    <row r="213" spans="1:32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</row>
    <row r="214" spans="1:32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</row>
    <row r="215" spans="1:32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</row>
    <row r="216" spans="1:32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</row>
    <row r="217" spans="1:32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</row>
    <row r="218" spans="1:32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</row>
    <row r="219" spans="1:32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</row>
    <row r="220" spans="1:32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</row>
    <row r="221" spans="1:32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</row>
    <row r="222" spans="1:3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</row>
    <row r="223" spans="1:32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</row>
    <row r="224" spans="1:32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</row>
    <row r="225" spans="1:32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</row>
    <row r="226" spans="1:32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</row>
    <row r="227" spans="1:32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</row>
    <row r="228" spans="1:32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</row>
    <row r="229" spans="1:32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</row>
    <row r="230" spans="1:32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</row>
    <row r="231" spans="1:32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</row>
    <row r="232" spans="1: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</row>
    <row r="233" spans="1:32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</row>
    <row r="234" spans="1:32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</row>
    <row r="235" spans="1:32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</row>
    <row r="236" spans="1:32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</row>
    <row r="237" spans="1:32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</row>
    <row r="238" spans="1:32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</row>
    <row r="239" spans="1:32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</row>
    <row r="240" spans="1:32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</row>
    <row r="241" spans="1:32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</row>
    <row r="242" spans="1:3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</row>
    <row r="243" spans="1:32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</row>
    <row r="244" spans="1:32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</row>
    <row r="245" spans="1:32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5">
    <mergeCell ref="A1:G1"/>
    <mergeCell ref="A17:H17"/>
    <mergeCell ref="B33:E33"/>
    <mergeCell ref="F33:G33"/>
    <mergeCell ref="H33:I33"/>
  </mergeCells>
  <conditionalFormatting sqref="B36:B41">
    <cfRule type="cellIs" dxfId="36" priority="1" operator="lessThan">
      <formula>0.6</formula>
    </cfRule>
  </conditionalFormatting>
  <conditionalFormatting sqref="B36:B41">
    <cfRule type="cellIs" dxfId="35" priority="2" operator="between">
      <formula>0.6</formula>
      <formula>0.8</formula>
    </cfRule>
  </conditionalFormatting>
  <conditionalFormatting sqref="B36:B41">
    <cfRule type="cellIs" dxfId="34" priority="3" operator="greaterThan">
      <formula>0.8</formula>
    </cfRule>
  </conditionalFormatting>
  <conditionalFormatting sqref="C36:C41">
    <cfRule type="cellIs" dxfId="33" priority="4" operator="greaterThan">
      <formula>0.1</formula>
    </cfRule>
  </conditionalFormatting>
  <conditionalFormatting sqref="C36:C41">
    <cfRule type="cellIs" dxfId="32" priority="5" operator="between">
      <formula>0.079</formula>
      <formula>0.101</formula>
    </cfRule>
  </conditionalFormatting>
  <conditionalFormatting sqref="C36:C41">
    <cfRule type="cellIs" dxfId="31" priority="6" operator="lessThan">
      <formula>0.08</formula>
    </cfRule>
  </conditionalFormatting>
  <conditionalFormatting sqref="D36:D41">
    <cfRule type="cellIs" dxfId="30" priority="7" operator="lessThan">
      <formula>50</formula>
    </cfRule>
  </conditionalFormatting>
  <conditionalFormatting sqref="D36:D41">
    <cfRule type="cellIs" dxfId="29" priority="8" operator="between">
      <formula>49.9</formula>
      <formula>80.1</formula>
    </cfRule>
  </conditionalFormatting>
  <conditionalFormatting sqref="D36:D41">
    <cfRule type="cellIs" dxfId="28" priority="9" operator="greaterThan">
      <formula>80</formula>
    </cfRule>
  </conditionalFormatting>
  <conditionalFormatting sqref="E36:E41">
    <cfRule type="cellIs" dxfId="27" priority="10" operator="greaterThan">
      <formula>0.9</formula>
    </cfRule>
  </conditionalFormatting>
  <conditionalFormatting sqref="E36:E41">
    <cfRule type="cellIs" dxfId="26" priority="11" operator="between">
      <formula>0.6</formula>
      <formula>0.9</formula>
    </cfRule>
  </conditionalFormatting>
  <conditionalFormatting sqref="E36:E41">
    <cfRule type="cellIs" dxfId="25" priority="12" operator="lessThan">
      <formula>0.6</formula>
    </cfRule>
  </conditionalFormatting>
  <conditionalFormatting sqref="F36:F41">
    <cfRule type="cellIs" dxfId="24" priority="13" operator="lessThan">
      <formula>0.6</formula>
    </cfRule>
  </conditionalFormatting>
  <conditionalFormatting sqref="F36:F41">
    <cfRule type="cellIs" dxfId="23" priority="14" operator="between">
      <formula>0.6</formula>
      <formula>0.8</formula>
    </cfRule>
  </conditionalFormatting>
  <conditionalFormatting sqref="F36:F41">
    <cfRule type="cellIs" dxfId="22" priority="15" operator="greaterThan">
      <formula>0.8</formula>
    </cfRule>
  </conditionalFormatting>
  <conditionalFormatting sqref="G36:G41">
    <cfRule type="containsText" dxfId="21" priority="16" operator="containsText" text="Red">
      <formula>NOT(ISERROR(SEARCH(("Red"),(G36))))</formula>
    </cfRule>
  </conditionalFormatting>
  <conditionalFormatting sqref="G36:G41">
    <cfRule type="containsText" dxfId="20" priority="17" operator="containsText" text="Green">
      <formula>NOT(ISERROR(SEARCH(("Green"),(G36))))</formula>
    </cfRule>
  </conditionalFormatting>
  <conditionalFormatting sqref="G36:G41">
    <cfRule type="containsText" dxfId="19" priority="18" operator="containsText" text="Amber">
      <formula>NOT(ISERROR(SEARCH(("Amber"),(G36))))</formula>
    </cfRule>
  </conditionalFormatting>
  <conditionalFormatting sqref="G36:G41">
    <cfRule type="containsText" dxfId="18" priority="19" operator="containsText" text="Red">
      <formula>NOT(ISERROR(SEARCH(("Red"),(G36))))</formula>
    </cfRule>
  </conditionalFormatting>
  <conditionalFormatting sqref="G36:G41">
    <cfRule type="containsText" dxfId="17" priority="20" operator="containsText" text="Amber">
      <formula>NOT(ISERROR(SEARCH(("Amber"),(G36))))</formula>
    </cfRule>
  </conditionalFormatting>
  <conditionalFormatting sqref="G36:G41">
    <cfRule type="containsText" dxfId="16" priority="21" operator="containsText" text="Green">
      <formula>NOT(ISERROR(SEARCH(("Green"),(G36))))</formula>
    </cfRule>
  </conditionalFormatting>
  <conditionalFormatting sqref="H36:H41">
    <cfRule type="cellIs" dxfId="15" priority="22" operator="lessThan">
      <formula>0.6</formula>
    </cfRule>
  </conditionalFormatting>
  <conditionalFormatting sqref="H36:H41">
    <cfRule type="cellIs" dxfId="14" priority="23" operator="between">
      <formula>0.6</formula>
      <formula>0.8</formula>
    </cfRule>
  </conditionalFormatting>
  <conditionalFormatting sqref="H36:H41">
    <cfRule type="cellIs" dxfId="13" priority="24" operator="greaterThan">
      <formula>0.8</formula>
    </cfRule>
  </conditionalFormatting>
  <conditionalFormatting sqref="H38">
    <cfRule type="cellIs" dxfId="12" priority="25" operator="equal">
      <formula>"NA"</formula>
    </cfRule>
  </conditionalFormatting>
  <conditionalFormatting sqref="I36:I41">
    <cfRule type="containsText" dxfId="11" priority="26" operator="containsText" text="Red">
      <formula>NOT(ISERROR(SEARCH(("Red"),(I36))))</formula>
    </cfRule>
  </conditionalFormatting>
  <conditionalFormatting sqref="I36:I41">
    <cfRule type="containsText" dxfId="10" priority="27" operator="containsText" text="Green">
      <formula>NOT(ISERROR(SEARCH(("Green"),(I36))))</formula>
    </cfRule>
  </conditionalFormatting>
  <conditionalFormatting sqref="I36:I41">
    <cfRule type="containsText" dxfId="9" priority="28" operator="containsText" text="Amber">
      <formula>NOT(ISERROR(SEARCH(("Amber"),(I36))))</formula>
    </cfRule>
  </conditionalFormatting>
  <conditionalFormatting sqref="I36:I41">
    <cfRule type="containsText" dxfId="8" priority="29" operator="containsText" text="Red">
      <formula>NOT(ISERROR(SEARCH(("Red"),(I36))))</formula>
    </cfRule>
  </conditionalFormatting>
  <conditionalFormatting sqref="I36:I41">
    <cfRule type="containsText" dxfId="7" priority="30" operator="containsText" text="Amber">
      <formula>NOT(ISERROR(SEARCH(("Amber"),(I36))))</formula>
    </cfRule>
  </conditionalFormatting>
  <conditionalFormatting sqref="I36:I41">
    <cfRule type="containsText" dxfId="6" priority="31" operator="containsText" text="Green">
      <formula>NOT(ISERROR(SEARCH(("Green"),(I36))))</formula>
    </cfRule>
  </conditionalFormatting>
  <conditionalFormatting sqref="J36 J38:J41">
    <cfRule type="containsText" dxfId="5" priority="32" operator="containsText" text="Red">
      <formula>NOT(ISERROR(SEARCH(("Red"),(J36))))</formula>
    </cfRule>
  </conditionalFormatting>
  <conditionalFormatting sqref="J36 J38:J41">
    <cfRule type="containsText" dxfId="4" priority="33" operator="containsText" text="Green">
      <formula>NOT(ISERROR(SEARCH(("Green"),(J36))))</formula>
    </cfRule>
  </conditionalFormatting>
  <conditionalFormatting sqref="J36 J38:J41">
    <cfRule type="containsText" dxfId="3" priority="34" operator="containsText" text="Amber">
      <formula>NOT(ISERROR(SEARCH(("Amber"),(J36))))</formula>
    </cfRule>
  </conditionalFormatting>
  <conditionalFormatting sqref="J36:J41">
    <cfRule type="containsText" dxfId="2" priority="35" operator="containsText" text="Red">
      <formula>NOT(ISERROR(SEARCH(("Red"),(J36))))</formula>
    </cfRule>
  </conditionalFormatting>
  <conditionalFormatting sqref="J36:J41">
    <cfRule type="containsText" dxfId="1" priority="36" operator="containsText" text="Amber">
      <formula>NOT(ISERROR(SEARCH(("Amber"),(J36))))</formula>
    </cfRule>
  </conditionalFormatting>
  <conditionalFormatting sqref="J36:J41">
    <cfRule type="containsText" dxfId="0" priority="37" operator="containsText" text="Green">
      <formula>NOT(ISERROR(SEARCH(("Green"),(J36))))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/>
  <cols>
    <col min="1" max="1" width="10.28515625" customWidth="1"/>
    <col min="2" max="2" width="14.7109375" customWidth="1"/>
    <col min="3" max="4" width="26.7109375" customWidth="1"/>
    <col min="5" max="5" width="14.140625" customWidth="1"/>
    <col min="6" max="6" width="12.28515625" customWidth="1"/>
    <col min="7" max="7" width="14.140625" customWidth="1"/>
    <col min="8" max="8" width="12.28515625" customWidth="1"/>
    <col min="9" max="9" width="14.140625" customWidth="1"/>
    <col min="10" max="10" width="12.28515625" customWidth="1"/>
    <col min="11" max="11" width="14.140625" customWidth="1"/>
    <col min="12" max="12" width="12.28515625" customWidth="1"/>
    <col min="13" max="13" width="14.140625" customWidth="1"/>
    <col min="14" max="14" width="12.28515625" customWidth="1"/>
    <col min="15" max="15" width="14.140625" customWidth="1"/>
    <col min="16" max="16" width="12.28515625" customWidth="1"/>
    <col min="17" max="17" width="14.140625" customWidth="1"/>
    <col min="18" max="18" width="12.28515625" customWidth="1"/>
    <col min="19" max="19" width="15.42578125" customWidth="1"/>
    <col min="20" max="20" width="13.42578125" customWidth="1"/>
    <col min="21" max="21" width="15.42578125" customWidth="1"/>
    <col min="22" max="22" width="13.42578125" customWidth="1"/>
    <col min="23" max="23" width="15.42578125" customWidth="1"/>
    <col min="24" max="24" width="13.42578125" customWidth="1"/>
    <col min="25" max="25" width="15.42578125" customWidth="1"/>
    <col min="26" max="26" width="13.42578125" customWidth="1"/>
    <col min="27" max="27" width="15.42578125" customWidth="1"/>
    <col min="28" max="28" width="13.42578125" customWidth="1"/>
    <col min="29" max="29" width="15.42578125" customWidth="1"/>
    <col min="30" max="30" width="13.42578125" customWidth="1"/>
    <col min="31" max="31" width="15.42578125" customWidth="1"/>
    <col min="32" max="32" width="13.42578125" customWidth="1"/>
    <col min="33" max="33" width="15.42578125" customWidth="1"/>
    <col min="34" max="34" width="13.42578125" customWidth="1"/>
    <col min="35" max="35" width="15.42578125" customWidth="1"/>
    <col min="36" max="36" width="13.42578125" customWidth="1"/>
    <col min="37" max="54" width="8.85546875" customWidth="1"/>
  </cols>
  <sheetData>
    <row r="1" spans="1:54" ht="15" customHeight="1">
      <c r="A1" s="177"/>
      <c r="B1" s="177"/>
      <c r="C1" s="177"/>
      <c r="D1" s="177"/>
      <c r="E1" s="245">
        <v>44531</v>
      </c>
      <c r="F1" s="239"/>
      <c r="G1" s="239"/>
      <c r="H1" s="239"/>
      <c r="I1" s="239"/>
      <c r="J1" s="239"/>
      <c r="K1" s="239"/>
      <c r="L1" s="240"/>
      <c r="M1" s="246">
        <v>44562</v>
      </c>
      <c r="N1" s="239"/>
      <c r="O1" s="239"/>
      <c r="P1" s="239"/>
      <c r="Q1" s="239"/>
      <c r="R1" s="239"/>
      <c r="S1" s="239"/>
      <c r="T1" s="240"/>
      <c r="U1" s="245">
        <v>44593</v>
      </c>
      <c r="V1" s="239"/>
      <c r="W1" s="239"/>
      <c r="X1" s="239"/>
      <c r="Y1" s="239"/>
      <c r="Z1" s="239"/>
      <c r="AA1" s="239"/>
      <c r="AB1" s="240"/>
      <c r="AC1" s="247">
        <v>44621</v>
      </c>
      <c r="AD1" s="239"/>
      <c r="AE1" s="239"/>
      <c r="AF1" s="239"/>
      <c r="AG1" s="239"/>
      <c r="AH1" s="239"/>
      <c r="AI1" s="239"/>
      <c r="AJ1" s="240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>
      <c r="A2" s="178"/>
      <c r="B2" s="178"/>
      <c r="C2" s="178"/>
      <c r="D2" s="179"/>
      <c r="E2" s="180" t="s">
        <v>109</v>
      </c>
      <c r="F2" s="181" t="s">
        <v>110</v>
      </c>
      <c r="G2" s="180" t="s">
        <v>111</v>
      </c>
      <c r="H2" s="181" t="s">
        <v>112</v>
      </c>
      <c r="I2" s="180" t="s">
        <v>113</v>
      </c>
      <c r="J2" s="181" t="s">
        <v>114</v>
      </c>
      <c r="K2" s="180" t="s">
        <v>115</v>
      </c>
      <c r="L2" s="181" t="s">
        <v>116</v>
      </c>
      <c r="M2" s="180" t="s">
        <v>109</v>
      </c>
      <c r="N2" s="181" t="s">
        <v>110</v>
      </c>
      <c r="O2" s="180" t="s">
        <v>111</v>
      </c>
      <c r="P2" s="181" t="s">
        <v>112</v>
      </c>
      <c r="Q2" s="180" t="s">
        <v>113</v>
      </c>
      <c r="R2" s="181" t="s">
        <v>114</v>
      </c>
      <c r="S2" s="180" t="s">
        <v>115</v>
      </c>
      <c r="T2" s="181" t="s">
        <v>116</v>
      </c>
      <c r="U2" s="180" t="s">
        <v>109</v>
      </c>
      <c r="V2" s="181" t="s">
        <v>110</v>
      </c>
      <c r="W2" s="180" t="s">
        <v>111</v>
      </c>
      <c r="X2" s="181" t="s">
        <v>112</v>
      </c>
      <c r="Y2" s="180" t="s">
        <v>113</v>
      </c>
      <c r="Z2" s="181" t="s">
        <v>114</v>
      </c>
      <c r="AA2" s="180" t="s">
        <v>115</v>
      </c>
      <c r="AB2" s="181" t="s">
        <v>116</v>
      </c>
      <c r="AC2" s="180" t="s">
        <v>109</v>
      </c>
      <c r="AD2" s="181" t="s">
        <v>110</v>
      </c>
      <c r="AE2" s="180" t="s">
        <v>111</v>
      </c>
      <c r="AF2" s="181" t="s">
        <v>112</v>
      </c>
      <c r="AG2" s="180" t="s">
        <v>113</v>
      </c>
      <c r="AH2" s="181" t="s">
        <v>114</v>
      </c>
      <c r="AI2" s="180" t="s">
        <v>115</v>
      </c>
      <c r="AJ2" s="181" t="s">
        <v>116</v>
      </c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</row>
    <row r="3" spans="1:54">
      <c r="A3" s="183" t="s">
        <v>117</v>
      </c>
      <c r="B3" s="183" t="s">
        <v>31</v>
      </c>
      <c r="C3" s="183" t="s">
        <v>118</v>
      </c>
      <c r="D3" s="183"/>
      <c r="E3" s="184" t="s">
        <v>119</v>
      </c>
      <c r="F3" s="185" t="s">
        <v>22</v>
      </c>
      <c r="G3" s="184" t="s">
        <v>119</v>
      </c>
      <c r="H3" s="185" t="s">
        <v>22</v>
      </c>
      <c r="I3" s="184" t="s">
        <v>119</v>
      </c>
      <c r="J3" s="185" t="s">
        <v>22</v>
      </c>
      <c r="K3" s="184" t="s">
        <v>119</v>
      </c>
      <c r="L3" s="185" t="s">
        <v>22</v>
      </c>
      <c r="M3" s="184" t="s">
        <v>119</v>
      </c>
      <c r="N3" s="185" t="s">
        <v>22</v>
      </c>
      <c r="O3" s="184" t="s">
        <v>119</v>
      </c>
      <c r="P3" s="185" t="s">
        <v>22</v>
      </c>
      <c r="Q3" s="184" t="s">
        <v>119</v>
      </c>
      <c r="R3" s="185" t="s">
        <v>22</v>
      </c>
      <c r="S3" s="184" t="s">
        <v>119</v>
      </c>
      <c r="T3" s="185" t="s">
        <v>22</v>
      </c>
      <c r="U3" s="184" t="s">
        <v>119</v>
      </c>
      <c r="V3" s="185" t="s">
        <v>22</v>
      </c>
      <c r="W3" s="184" t="s">
        <v>119</v>
      </c>
      <c r="X3" s="185" t="s">
        <v>22</v>
      </c>
      <c r="Y3" s="184" t="s">
        <v>119</v>
      </c>
      <c r="Z3" s="185" t="s">
        <v>22</v>
      </c>
      <c r="AA3" s="184" t="s">
        <v>119</v>
      </c>
      <c r="AB3" s="185" t="s">
        <v>22</v>
      </c>
      <c r="AC3" s="184" t="s">
        <v>119</v>
      </c>
      <c r="AD3" s="185" t="s">
        <v>22</v>
      </c>
      <c r="AE3" s="184" t="s">
        <v>119</v>
      </c>
      <c r="AF3" s="185" t="s">
        <v>22</v>
      </c>
      <c r="AG3" s="184" t="s">
        <v>119</v>
      </c>
      <c r="AH3" s="185" t="s">
        <v>22</v>
      </c>
      <c r="AI3" s="184" t="s">
        <v>119</v>
      </c>
      <c r="AJ3" s="185" t="s">
        <v>22</v>
      </c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</row>
    <row r="4" spans="1:54" ht="15.75" customHeight="1">
      <c r="A4" s="182" t="s">
        <v>120</v>
      </c>
      <c r="B4" s="182" t="s">
        <v>51</v>
      </c>
      <c r="C4" s="182" t="s">
        <v>121</v>
      </c>
      <c r="D4" s="182"/>
      <c r="E4" s="182">
        <v>0</v>
      </c>
      <c r="F4" s="182">
        <v>87</v>
      </c>
      <c r="G4" s="182">
        <v>0</v>
      </c>
      <c r="H4" s="182">
        <v>36</v>
      </c>
      <c r="I4" s="182">
        <v>168</v>
      </c>
      <c r="J4" s="182">
        <v>27</v>
      </c>
      <c r="K4" s="182">
        <v>142</v>
      </c>
      <c r="L4" s="182">
        <v>15</v>
      </c>
      <c r="M4" s="182">
        <v>107</v>
      </c>
      <c r="N4" s="182">
        <v>3</v>
      </c>
      <c r="O4" s="182">
        <v>109</v>
      </c>
      <c r="P4" s="182">
        <v>1</v>
      </c>
      <c r="Q4" s="182">
        <v>156</v>
      </c>
      <c r="R4" s="182"/>
      <c r="S4" s="182">
        <v>146</v>
      </c>
      <c r="T4" s="182"/>
      <c r="U4" s="182">
        <v>146</v>
      </c>
      <c r="V4" s="182"/>
      <c r="W4" s="182">
        <v>187</v>
      </c>
      <c r="X4" s="182"/>
      <c r="Y4" s="182">
        <v>185</v>
      </c>
      <c r="Z4" s="182"/>
      <c r="AA4" s="182">
        <v>180</v>
      </c>
      <c r="AB4" s="182"/>
      <c r="AC4" s="182">
        <v>0</v>
      </c>
      <c r="AD4" s="182"/>
      <c r="AE4" s="182">
        <v>0</v>
      </c>
      <c r="AF4" s="182"/>
      <c r="AG4" s="182">
        <v>0</v>
      </c>
      <c r="AH4" s="182"/>
      <c r="AI4" s="182">
        <v>0</v>
      </c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</row>
    <row r="5" spans="1:54" ht="15.75" customHeight="1">
      <c r="A5" s="182" t="s">
        <v>120</v>
      </c>
      <c r="B5" s="182" t="s">
        <v>51</v>
      </c>
      <c r="C5" s="182" t="s">
        <v>28</v>
      </c>
      <c r="D5" s="182"/>
      <c r="E5" s="182">
        <v>0</v>
      </c>
      <c r="F5" s="182">
        <v>0</v>
      </c>
      <c r="G5" s="182">
        <v>0</v>
      </c>
      <c r="H5" s="182">
        <v>0</v>
      </c>
      <c r="I5" s="182">
        <v>321</v>
      </c>
      <c r="J5" s="182">
        <v>0</v>
      </c>
      <c r="K5" s="182">
        <v>0</v>
      </c>
      <c r="L5" s="182">
        <v>338</v>
      </c>
      <c r="M5" s="182">
        <v>803</v>
      </c>
      <c r="N5" s="182">
        <v>1066</v>
      </c>
      <c r="O5" s="182">
        <v>803</v>
      </c>
      <c r="P5" s="182">
        <v>740</v>
      </c>
      <c r="Q5" s="182">
        <v>803</v>
      </c>
      <c r="R5" s="182"/>
      <c r="S5" s="182">
        <v>482</v>
      </c>
      <c r="T5" s="182"/>
      <c r="U5" s="182">
        <v>0</v>
      </c>
      <c r="V5" s="182"/>
      <c r="W5" s="182">
        <v>0</v>
      </c>
      <c r="X5" s="182"/>
      <c r="Y5" s="182">
        <v>0</v>
      </c>
      <c r="Z5" s="182"/>
      <c r="AA5" s="182">
        <v>0</v>
      </c>
      <c r="AB5" s="182"/>
      <c r="AC5" s="182">
        <v>0</v>
      </c>
      <c r="AD5" s="182"/>
      <c r="AE5" s="182">
        <v>0</v>
      </c>
      <c r="AF5" s="182"/>
      <c r="AG5" s="182">
        <v>0</v>
      </c>
      <c r="AH5" s="182"/>
      <c r="AI5" s="182">
        <v>0</v>
      </c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</row>
    <row r="6" spans="1:54" ht="15.75" customHeight="1">
      <c r="A6" s="182" t="s">
        <v>120</v>
      </c>
      <c r="B6" s="182" t="s">
        <v>51</v>
      </c>
      <c r="C6" s="182" t="s">
        <v>16</v>
      </c>
      <c r="D6" s="182"/>
      <c r="E6" s="182">
        <v>0</v>
      </c>
      <c r="F6" s="182">
        <v>0</v>
      </c>
      <c r="G6" s="182">
        <v>0</v>
      </c>
      <c r="H6" s="182">
        <v>0</v>
      </c>
      <c r="I6" s="182">
        <v>0</v>
      </c>
      <c r="J6" s="182">
        <v>0</v>
      </c>
      <c r="K6" s="182">
        <v>95</v>
      </c>
      <c r="L6" s="182">
        <v>349</v>
      </c>
      <c r="M6" s="182">
        <v>0</v>
      </c>
      <c r="N6" s="182">
        <v>1066</v>
      </c>
      <c r="O6" s="182">
        <v>0</v>
      </c>
      <c r="P6" s="182">
        <v>740</v>
      </c>
      <c r="Q6" s="182">
        <v>64</v>
      </c>
      <c r="R6" s="182"/>
      <c r="S6" s="182">
        <v>95</v>
      </c>
      <c r="T6" s="182"/>
      <c r="U6" s="182">
        <v>191</v>
      </c>
      <c r="V6" s="182"/>
      <c r="W6" s="182">
        <v>238</v>
      </c>
      <c r="X6" s="182"/>
      <c r="Y6" s="182">
        <v>238</v>
      </c>
      <c r="Z6" s="182"/>
      <c r="AA6" s="182">
        <v>286</v>
      </c>
      <c r="AB6" s="182"/>
      <c r="AC6" s="182">
        <v>191</v>
      </c>
      <c r="AD6" s="182"/>
      <c r="AE6" s="182">
        <v>191</v>
      </c>
      <c r="AF6" s="182"/>
      <c r="AG6" s="182">
        <v>123</v>
      </c>
      <c r="AH6" s="182"/>
      <c r="AI6" s="182">
        <v>0</v>
      </c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2"/>
      <c r="AU6" s="182"/>
      <c r="AV6" s="182"/>
      <c r="AW6" s="182"/>
      <c r="AX6" s="182"/>
      <c r="AY6" s="182"/>
      <c r="AZ6" s="182"/>
      <c r="BA6" s="182"/>
      <c r="BB6" s="182"/>
    </row>
    <row r="7" spans="1:54" ht="15.75" customHeight="1">
      <c r="A7" s="182" t="s">
        <v>120</v>
      </c>
      <c r="B7" s="182" t="s">
        <v>51</v>
      </c>
      <c r="C7" s="182" t="s">
        <v>17</v>
      </c>
      <c r="D7" s="182"/>
      <c r="E7" s="182">
        <v>0</v>
      </c>
      <c r="F7" s="182">
        <v>0</v>
      </c>
      <c r="G7" s="182">
        <v>0</v>
      </c>
      <c r="H7" s="182">
        <v>171</v>
      </c>
      <c r="I7" s="182">
        <v>574</v>
      </c>
      <c r="J7" s="182">
        <v>1134</v>
      </c>
      <c r="K7" s="182">
        <v>574</v>
      </c>
      <c r="L7" s="182">
        <v>0</v>
      </c>
      <c r="M7" s="182">
        <v>574</v>
      </c>
      <c r="N7" s="182">
        <v>790</v>
      </c>
      <c r="O7" s="182">
        <v>527</v>
      </c>
      <c r="P7" s="182">
        <v>64</v>
      </c>
      <c r="Q7" s="182">
        <v>0</v>
      </c>
      <c r="R7" s="182"/>
      <c r="S7" s="182">
        <v>0</v>
      </c>
      <c r="T7" s="182"/>
      <c r="U7" s="182">
        <v>0</v>
      </c>
      <c r="V7" s="182"/>
      <c r="W7" s="182">
        <v>0</v>
      </c>
      <c r="X7" s="182"/>
      <c r="Y7" s="182">
        <v>0</v>
      </c>
      <c r="Z7" s="182"/>
      <c r="AA7" s="182">
        <v>0</v>
      </c>
      <c r="AB7" s="182"/>
      <c r="AC7" s="182">
        <v>0</v>
      </c>
      <c r="AD7" s="182"/>
      <c r="AE7" s="182">
        <v>0</v>
      </c>
      <c r="AF7" s="182"/>
      <c r="AG7" s="182">
        <v>0</v>
      </c>
      <c r="AH7" s="182"/>
      <c r="AI7" s="182">
        <v>0</v>
      </c>
      <c r="AJ7" s="182"/>
      <c r="AK7" s="182"/>
      <c r="AL7" s="182"/>
      <c r="AM7" s="182"/>
      <c r="AN7" s="182"/>
      <c r="AO7" s="182"/>
      <c r="AP7" s="182"/>
      <c r="AQ7" s="182"/>
      <c r="AR7" s="182"/>
      <c r="AS7" s="182"/>
      <c r="AT7" s="182"/>
      <c r="AU7" s="182"/>
      <c r="AV7" s="182"/>
      <c r="AW7" s="182"/>
      <c r="AX7" s="182"/>
      <c r="AY7" s="182"/>
      <c r="AZ7" s="182"/>
      <c r="BA7" s="182"/>
      <c r="BB7" s="182"/>
    </row>
    <row r="8" spans="1:54" ht="15.75" customHeight="1">
      <c r="A8" s="182" t="s">
        <v>120</v>
      </c>
      <c r="B8" s="182" t="s">
        <v>51</v>
      </c>
      <c r="C8" s="182" t="s">
        <v>122</v>
      </c>
      <c r="D8" s="182"/>
      <c r="E8" s="182">
        <v>0</v>
      </c>
      <c r="F8" s="182" t="s">
        <v>123</v>
      </c>
      <c r="G8" s="182">
        <v>0</v>
      </c>
      <c r="H8" s="182" t="s">
        <v>123</v>
      </c>
      <c r="I8" s="182">
        <v>0</v>
      </c>
      <c r="J8" s="182" t="s">
        <v>123</v>
      </c>
      <c r="K8" s="182">
        <v>0</v>
      </c>
      <c r="L8" s="182" t="s">
        <v>123</v>
      </c>
      <c r="M8" s="182">
        <v>140</v>
      </c>
      <c r="N8" s="182" t="s">
        <v>123</v>
      </c>
      <c r="O8" s="182">
        <v>0</v>
      </c>
      <c r="P8" s="182" t="s">
        <v>123</v>
      </c>
      <c r="Q8" s="182">
        <v>0</v>
      </c>
      <c r="R8" s="182"/>
      <c r="S8" s="182">
        <v>0</v>
      </c>
      <c r="T8" s="182"/>
      <c r="U8" s="182">
        <v>0</v>
      </c>
      <c r="V8" s="182"/>
      <c r="W8" s="182">
        <v>0</v>
      </c>
      <c r="X8" s="182"/>
      <c r="Y8" s="182">
        <v>0</v>
      </c>
      <c r="Z8" s="182"/>
      <c r="AA8" s="182">
        <v>0</v>
      </c>
      <c r="AB8" s="182"/>
      <c r="AC8" s="182">
        <v>0</v>
      </c>
      <c r="AD8" s="182"/>
      <c r="AE8" s="182">
        <v>0</v>
      </c>
      <c r="AF8" s="182"/>
      <c r="AG8" s="182">
        <v>0</v>
      </c>
      <c r="AH8" s="182"/>
      <c r="AI8" s="182">
        <v>0</v>
      </c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</row>
    <row r="9" spans="1:54" ht="15.75" customHeight="1">
      <c r="A9" s="182" t="s">
        <v>120</v>
      </c>
      <c r="B9" s="182" t="s">
        <v>54</v>
      </c>
      <c r="C9" s="182" t="s">
        <v>121</v>
      </c>
      <c r="D9" s="182"/>
      <c r="E9" s="182">
        <v>0</v>
      </c>
      <c r="F9" s="182">
        <v>423</v>
      </c>
      <c r="G9" s="182">
        <v>0</v>
      </c>
      <c r="H9" s="182">
        <v>400</v>
      </c>
      <c r="I9" s="182">
        <v>402</v>
      </c>
      <c r="J9" s="182">
        <v>426</v>
      </c>
      <c r="K9" s="182">
        <v>76</v>
      </c>
      <c r="L9" s="182">
        <v>326</v>
      </c>
      <c r="M9" s="182">
        <v>225</v>
      </c>
      <c r="N9" s="182">
        <v>561</v>
      </c>
      <c r="O9" s="182">
        <v>1102</v>
      </c>
      <c r="P9" s="182">
        <v>347</v>
      </c>
      <c r="Q9" s="182">
        <v>556</v>
      </c>
      <c r="R9" s="182"/>
      <c r="S9" s="182">
        <v>1011</v>
      </c>
      <c r="T9" s="182"/>
      <c r="U9" s="182">
        <v>444</v>
      </c>
      <c r="V9" s="182"/>
      <c r="W9" s="182">
        <v>346</v>
      </c>
      <c r="X9" s="182"/>
      <c r="Y9" s="182">
        <v>402</v>
      </c>
      <c r="Z9" s="182"/>
      <c r="AA9" s="182">
        <v>928</v>
      </c>
      <c r="AB9" s="182"/>
      <c r="AC9" s="182" t="s">
        <v>23</v>
      </c>
      <c r="AD9" s="182"/>
      <c r="AE9" s="182" t="s">
        <v>23</v>
      </c>
      <c r="AF9" s="182"/>
      <c r="AG9" s="182" t="s">
        <v>23</v>
      </c>
      <c r="AH9" s="182"/>
      <c r="AI9" s="182" t="s">
        <v>23</v>
      </c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</row>
    <row r="10" spans="1:54" ht="15.75" customHeight="1">
      <c r="A10" s="182" t="s">
        <v>120</v>
      </c>
      <c r="B10" s="182" t="s">
        <v>54</v>
      </c>
      <c r="C10" s="182" t="s">
        <v>28</v>
      </c>
      <c r="D10" s="182"/>
      <c r="E10" s="182">
        <v>0</v>
      </c>
      <c r="F10" s="182">
        <v>0</v>
      </c>
      <c r="G10" s="182">
        <v>0</v>
      </c>
      <c r="H10" s="182">
        <v>0</v>
      </c>
      <c r="I10" s="182">
        <v>230</v>
      </c>
      <c r="J10" s="182">
        <v>0</v>
      </c>
      <c r="K10" s="182">
        <v>0</v>
      </c>
      <c r="L10" s="182">
        <v>468</v>
      </c>
      <c r="M10" s="182">
        <v>688</v>
      </c>
      <c r="N10" s="182">
        <v>675</v>
      </c>
      <c r="O10" s="182">
        <v>688</v>
      </c>
      <c r="P10" s="182">
        <v>726</v>
      </c>
      <c r="Q10" s="182">
        <v>688</v>
      </c>
      <c r="R10" s="182"/>
      <c r="S10" s="182">
        <v>505</v>
      </c>
      <c r="T10" s="182"/>
      <c r="U10" s="182">
        <v>789</v>
      </c>
      <c r="V10" s="182"/>
      <c r="W10" s="182">
        <v>0</v>
      </c>
      <c r="X10" s="182"/>
      <c r="Y10" s="182">
        <v>0</v>
      </c>
      <c r="Z10" s="182"/>
      <c r="AA10" s="182">
        <v>0</v>
      </c>
      <c r="AB10" s="182"/>
      <c r="AC10" s="182">
        <v>0</v>
      </c>
      <c r="AD10" s="182"/>
      <c r="AE10" s="182">
        <v>0</v>
      </c>
      <c r="AF10" s="182"/>
      <c r="AG10" s="182">
        <v>0</v>
      </c>
      <c r="AH10" s="182"/>
      <c r="AI10" s="182">
        <v>0</v>
      </c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</row>
    <row r="11" spans="1:54" ht="15.75" customHeight="1">
      <c r="A11" s="182" t="s">
        <v>120</v>
      </c>
      <c r="B11" s="182" t="s">
        <v>54</v>
      </c>
      <c r="C11" s="182" t="s">
        <v>16</v>
      </c>
      <c r="D11" s="182"/>
      <c r="E11" s="182">
        <v>0</v>
      </c>
      <c r="F11" s="182">
        <v>0</v>
      </c>
      <c r="G11" s="182">
        <v>0</v>
      </c>
      <c r="H11" s="182">
        <v>0</v>
      </c>
      <c r="I11" s="182">
        <v>102</v>
      </c>
      <c r="J11" s="182">
        <v>0</v>
      </c>
      <c r="K11" s="182">
        <v>102</v>
      </c>
      <c r="L11" s="182">
        <v>468</v>
      </c>
      <c r="M11" s="182">
        <v>0</v>
      </c>
      <c r="N11" s="182">
        <v>675</v>
      </c>
      <c r="O11" s="182">
        <v>0</v>
      </c>
      <c r="P11" s="182">
        <v>726</v>
      </c>
      <c r="Q11" s="182">
        <v>62</v>
      </c>
      <c r="R11" s="182"/>
      <c r="S11" s="182">
        <v>102</v>
      </c>
      <c r="T11" s="182"/>
      <c r="U11" s="182">
        <v>204</v>
      </c>
      <c r="V11" s="182"/>
      <c r="W11" s="182">
        <v>204</v>
      </c>
      <c r="X11" s="182"/>
      <c r="Y11" s="182">
        <v>116</v>
      </c>
      <c r="Z11" s="182"/>
      <c r="AA11" s="182">
        <v>0</v>
      </c>
      <c r="AB11" s="182"/>
      <c r="AC11" s="182">
        <v>0</v>
      </c>
      <c r="AD11" s="182"/>
      <c r="AE11" s="182">
        <v>0</v>
      </c>
      <c r="AF11" s="182"/>
      <c r="AG11" s="182">
        <v>0</v>
      </c>
      <c r="AH11" s="182"/>
      <c r="AI11" s="182">
        <v>0</v>
      </c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</row>
    <row r="12" spans="1:54" ht="15.75" customHeight="1">
      <c r="A12" s="182" t="s">
        <v>120</v>
      </c>
      <c r="B12" s="182" t="s">
        <v>54</v>
      </c>
      <c r="C12" s="182" t="s">
        <v>17</v>
      </c>
      <c r="D12" s="182"/>
      <c r="E12" s="182">
        <v>0</v>
      </c>
      <c r="F12" s="182">
        <v>12</v>
      </c>
      <c r="G12" s="182">
        <v>0</v>
      </c>
      <c r="H12" s="182">
        <v>937</v>
      </c>
      <c r="I12" s="187">
        <v>1512</v>
      </c>
      <c r="J12" s="182">
        <v>2981</v>
      </c>
      <c r="K12" s="187">
        <v>1512</v>
      </c>
      <c r="L12" s="182">
        <v>0</v>
      </c>
      <c r="M12" s="187">
        <v>1512</v>
      </c>
      <c r="N12" s="182">
        <v>3380</v>
      </c>
      <c r="O12" s="182">
        <v>1512</v>
      </c>
      <c r="P12" s="182">
        <v>2654</v>
      </c>
      <c r="Q12" s="182">
        <v>2234</v>
      </c>
      <c r="R12" s="182"/>
      <c r="S12" s="182">
        <v>4272</v>
      </c>
      <c r="T12" s="182"/>
      <c r="U12" s="187">
        <v>4272</v>
      </c>
      <c r="V12" s="187"/>
      <c r="W12" s="187">
        <v>4272</v>
      </c>
      <c r="X12" s="187"/>
      <c r="Y12" s="187">
        <v>4272</v>
      </c>
      <c r="Z12" s="187"/>
      <c r="AA12" s="187">
        <v>4272</v>
      </c>
      <c r="AB12" s="187"/>
      <c r="AC12" s="187">
        <v>4076</v>
      </c>
      <c r="AD12" s="187"/>
      <c r="AE12" s="182">
        <v>0</v>
      </c>
      <c r="AF12" s="182"/>
      <c r="AG12" s="182">
        <v>0</v>
      </c>
      <c r="AH12" s="182"/>
      <c r="AI12" s="182">
        <v>0</v>
      </c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</row>
    <row r="13" spans="1:54" ht="15.75" customHeight="1">
      <c r="A13" s="182" t="s">
        <v>120</v>
      </c>
      <c r="B13" s="182" t="s">
        <v>54</v>
      </c>
      <c r="C13" s="182" t="s">
        <v>122</v>
      </c>
      <c r="D13" s="182"/>
      <c r="E13" s="182">
        <v>0</v>
      </c>
      <c r="F13" s="182" t="s">
        <v>123</v>
      </c>
      <c r="G13" s="182">
        <v>0</v>
      </c>
      <c r="H13" s="182" t="s">
        <v>123</v>
      </c>
      <c r="I13" s="182">
        <v>0</v>
      </c>
      <c r="J13" s="182" t="s">
        <v>123</v>
      </c>
      <c r="K13" s="182">
        <v>0</v>
      </c>
      <c r="L13" s="182" t="s">
        <v>123</v>
      </c>
      <c r="M13" s="182">
        <v>0</v>
      </c>
      <c r="N13" s="182" t="s">
        <v>123</v>
      </c>
      <c r="O13" s="182">
        <v>0</v>
      </c>
      <c r="P13" s="182" t="s">
        <v>123</v>
      </c>
      <c r="Q13" s="182">
        <v>0</v>
      </c>
      <c r="R13" s="182"/>
      <c r="S13" s="182">
        <v>0</v>
      </c>
      <c r="T13" s="182"/>
      <c r="U13" s="182">
        <v>0</v>
      </c>
      <c r="V13" s="182"/>
      <c r="W13" s="182">
        <v>0</v>
      </c>
      <c r="X13" s="182"/>
      <c r="Y13" s="182">
        <v>0</v>
      </c>
      <c r="Z13" s="182"/>
      <c r="AA13" s="182">
        <v>0</v>
      </c>
      <c r="AB13" s="182"/>
      <c r="AC13" s="182">
        <v>0</v>
      </c>
      <c r="AD13" s="182"/>
      <c r="AE13" s="182">
        <v>0</v>
      </c>
      <c r="AF13" s="182"/>
      <c r="AG13" s="182">
        <v>0</v>
      </c>
      <c r="AH13" s="182"/>
      <c r="AI13" s="182">
        <v>0</v>
      </c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</row>
    <row r="14" spans="1:54" ht="15.75" customHeight="1">
      <c r="A14" s="182" t="s">
        <v>120</v>
      </c>
      <c r="B14" s="182" t="s">
        <v>56</v>
      </c>
      <c r="C14" s="182" t="s">
        <v>121</v>
      </c>
      <c r="D14" s="182"/>
      <c r="E14" s="182">
        <v>0</v>
      </c>
      <c r="F14" s="182">
        <v>422</v>
      </c>
      <c r="G14" s="182">
        <v>0</v>
      </c>
      <c r="H14" s="182">
        <v>63</v>
      </c>
      <c r="I14" s="182">
        <v>15</v>
      </c>
      <c r="J14" s="182">
        <v>51</v>
      </c>
      <c r="K14" s="182">
        <v>45</v>
      </c>
      <c r="L14" s="182">
        <v>177</v>
      </c>
      <c r="M14" s="182">
        <v>98</v>
      </c>
      <c r="N14" s="182">
        <v>57</v>
      </c>
      <c r="O14" s="182">
        <v>197</v>
      </c>
      <c r="P14" s="182">
        <v>177</v>
      </c>
      <c r="Q14" s="182">
        <v>186</v>
      </c>
      <c r="R14" s="182"/>
      <c r="S14" s="182">
        <v>88</v>
      </c>
      <c r="T14" s="182"/>
      <c r="U14" s="182">
        <v>0</v>
      </c>
      <c r="V14" s="182"/>
      <c r="W14" s="182">
        <v>0</v>
      </c>
      <c r="X14" s="182"/>
      <c r="Y14" s="182">
        <v>0</v>
      </c>
      <c r="Z14" s="182"/>
      <c r="AA14" s="182">
        <v>0</v>
      </c>
      <c r="AB14" s="182"/>
      <c r="AC14" s="182" t="s">
        <v>23</v>
      </c>
      <c r="AD14" s="182"/>
      <c r="AE14" s="182" t="s">
        <v>23</v>
      </c>
      <c r="AF14" s="182"/>
      <c r="AG14" s="182" t="s">
        <v>23</v>
      </c>
      <c r="AH14" s="182"/>
      <c r="AI14" s="182" t="s">
        <v>23</v>
      </c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</row>
    <row r="15" spans="1:54" ht="15.75" customHeight="1">
      <c r="A15" s="182" t="s">
        <v>120</v>
      </c>
      <c r="B15" s="182" t="s">
        <v>56</v>
      </c>
      <c r="C15" s="182" t="s">
        <v>28</v>
      </c>
      <c r="D15" s="182"/>
      <c r="E15" s="182">
        <v>0</v>
      </c>
      <c r="F15" s="182">
        <v>0</v>
      </c>
      <c r="G15" s="182">
        <v>0</v>
      </c>
      <c r="H15" s="182">
        <v>0</v>
      </c>
      <c r="I15" s="182">
        <v>292</v>
      </c>
      <c r="J15" s="182">
        <v>0</v>
      </c>
      <c r="K15" s="182">
        <v>0</v>
      </c>
      <c r="L15" s="182">
        <v>663</v>
      </c>
      <c r="M15" s="182">
        <v>564</v>
      </c>
      <c r="N15" s="182">
        <v>494</v>
      </c>
      <c r="O15" s="182">
        <v>600</v>
      </c>
      <c r="P15" s="182">
        <v>348</v>
      </c>
      <c r="Q15" s="182">
        <v>0</v>
      </c>
      <c r="R15" s="182"/>
      <c r="S15" s="182">
        <v>0</v>
      </c>
      <c r="T15" s="182"/>
      <c r="U15" s="182">
        <v>0</v>
      </c>
      <c r="V15" s="182"/>
      <c r="W15" s="182">
        <v>0</v>
      </c>
      <c r="X15" s="182"/>
      <c r="Y15" s="182">
        <v>0</v>
      </c>
      <c r="Z15" s="182"/>
      <c r="AA15" s="182">
        <v>0</v>
      </c>
      <c r="AB15" s="182"/>
      <c r="AC15" s="182">
        <v>0</v>
      </c>
      <c r="AD15" s="182"/>
      <c r="AE15" s="182">
        <v>0</v>
      </c>
      <c r="AF15" s="182"/>
      <c r="AG15" s="182">
        <v>0</v>
      </c>
      <c r="AH15" s="182"/>
      <c r="AI15" s="182">
        <v>0</v>
      </c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</row>
    <row r="16" spans="1:54" ht="15.75" customHeight="1">
      <c r="A16" s="182" t="s">
        <v>120</v>
      </c>
      <c r="B16" s="182" t="s">
        <v>56</v>
      </c>
      <c r="C16" s="182" t="s">
        <v>16</v>
      </c>
      <c r="D16" s="182"/>
      <c r="E16" s="182">
        <v>0</v>
      </c>
      <c r="F16" s="182">
        <v>4</v>
      </c>
      <c r="G16" s="182">
        <v>0</v>
      </c>
      <c r="H16" s="182">
        <v>0</v>
      </c>
      <c r="I16" s="182">
        <v>78</v>
      </c>
      <c r="J16" s="182">
        <v>0</v>
      </c>
      <c r="K16" s="182">
        <v>78</v>
      </c>
      <c r="L16" s="182">
        <v>663</v>
      </c>
      <c r="M16" s="182">
        <v>0</v>
      </c>
      <c r="N16" s="182">
        <v>511</v>
      </c>
      <c r="O16" s="182">
        <v>0</v>
      </c>
      <c r="P16" s="182">
        <v>348</v>
      </c>
      <c r="Q16" s="182">
        <v>78</v>
      </c>
      <c r="R16" s="182"/>
      <c r="S16" s="182">
        <v>78</v>
      </c>
      <c r="T16" s="182"/>
      <c r="U16" s="182">
        <v>154</v>
      </c>
      <c r="V16" s="182"/>
      <c r="W16" s="182">
        <v>154</v>
      </c>
      <c r="X16" s="182"/>
      <c r="Y16" s="182">
        <v>154</v>
      </c>
      <c r="Z16" s="182"/>
      <c r="AA16" s="182">
        <v>154</v>
      </c>
      <c r="AB16" s="182"/>
      <c r="AC16" s="182">
        <v>154</v>
      </c>
      <c r="AD16" s="182"/>
      <c r="AE16" s="182">
        <v>154</v>
      </c>
      <c r="AF16" s="182"/>
      <c r="AG16" s="182">
        <v>164</v>
      </c>
      <c r="AH16" s="182"/>
      <c r="AI16" s="182">
        <v>0</v>
      </c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</row>
    <row r="17" spans="1:54" ht="15.75" customHeight="1">
      <c r="A17" s="182" t="s">
        <v>120</v>
      </c>
      <c r="B17" s="182" t="s">
        <v>56</v>
      </c>
      <c r="C17" s="182" t="s">
        <v>17</v>
      </c>
      <c r="D17" s="182"/>
      <c r="E17" s="182">
        <v>0</v>
      </c>
      <c r="F17" s="182">
        <v>0</v>
      </c>
      <c r="G17" s="182">
        <v>0</v>
      </c>
      <c r="H17" s="182">
        <v>261</v>
      </c>
      <c r="I17" s="182">
        <v>402</v>
      </c>
      <c r="J17" s="182">
        <v>125</v>
      </c>
      <c r="K17" s="182">
        <v>0</v>
      </c>
      <c r="L17" s="182">
        <v>0</v>
      </c>
      <c r="M17" s="182">
        <v>0</v>
      </c>
      <c r="N17" s="182">
        <v>12</v>
      </c>
      <c r="O17" s="182">
        <v>0</v>
      </c>
      <c r="P17" s="182">
        <v>4</v>
      </c>
      <c r="Q17" s="182">
        <v>0</v>
      </c>
      <c r="R17" s="182"/>
      <c r="S17" s="182">
        <v>0</v>
      </c>
      <c r="T17" s="182"/>
      <c r="U17" s="182">
        <v>0</v>
      </c>
      <c r="V17" s="182"/>
      <c r="W17" s="182">
        <v>0</v>
      </c>
      <c r="X17" s="182"/>
      <c r="Y17" s="182">
        <v>0</v>
      </c>
      <c r="Z17" s="182"/>
      <c r="AA17" s="182">
        <v>0</v>
      </c>
      <c r="AB17" s="182"/>
      <c r="AC17" s="182">
        <v>0</v>
      </c>
      <c r="AD17" s="182"/>
      <c r="AE17" s="182">
        <v>0</v>
      </c>
      <c r="AF17" s="182"/>
      <c r="AG17" s="182">
        <v>0</v>
      </c>
      <c r="AH17" s="182"/>
      <c r="AI17" s="182">
        <v>0</v>
      </c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</row>
    <row r="18" spans="1:54" ht="15.75" customHeight="1">
      <c r="A18" s="182" t="s">
        <v>120</v>
      </c>
      <c r="B18" s="182" t="s">
        <v>56</v>
      </c>
      <c r="C18" s="182" t="s">
        <v>122</v>
      </c>
      <c r="D18" s="182"/>
      <c r="E18" s="182">
        <v>0</v>
      </c>
      <c r="F18" s="182" t="s">
        <v>123</v>
      </c>
      <c r="G18" s="182">
        <v>0</v>
      </c>
      <c r="H18" s="182" t="s">
        <v>123</v>
      </c>
      <c r="I18" s="182">
        <v>0</v>
      </c>
      <c r="J18" s="182" t="s">
        <v>123</v>
      </c>
      <c r="K18" s="182">
        <v>0</v>
      </c>
      <c r="L18" s="182" t="s">
        <v>123</v>
      </c>
      <c r="M18" s="182">
        <v>0</v>
      </c>
      <c r="N18" s="182" t="s">
        <v>123</v>
      </c>
      <c r="O18" s="182">
        <v>0</v>
      </c>
      <c r="P18" s="182" t="s">
        <v>123</v>
      </c>
      <c r="Q18" s="182">
        <v>0</v>
      </c>
      <c r="R18" s="182"/>
      <c r="S18" s="182">
        <v>0</v>
      </c>
      <c r="T18" s="182"/>
      <c r="U18" s="182">
        <v>0</v>
      </c>
      <c r="V18" s="182"/>
      <c r="W18" s="182">
        <v>0</v>
      </c>
      <c r="X18" s="182"/>
      <c r="Y18" s="182">
        <v>0</v>
      </c>
      <c r="Z18" s="182"/>
      <c r="AA18" s="182">
        <v>0</v>
      </c>
      <c r="AB18" s="182"/>
      <c r="AC18" s="182">
        <v>0</v>
      </c>
      <c r="AD18" s="182"/>
      <c r="AE18" s="182">
        <v>0</v>
      </c>
      <c r="AF18" s="182"/>
      <c r="AG18" s="182">
        <v>0</v>
      </c>
      <c r="AH18" s="182"/>
      <c r="AI18" s="182">
        <v>0</v>
      </c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</row>
    <row r="19" spans="1:54" ht="15.75" customHeight="1">
      <c r="A19" s="182" t="s">
        <v>120</v>
      </c>
      <c r="B19" s="182" t="s">
        <v>58</v>
      </c>
      <c r="C19" s="182" t="s">
        <v>121</v>
      </c>
      <c r="D19" s="182"/>
      <c r="E19" s="182">
        <v>0</v>
      </c>
      <c r="F19" s="182">
        <v>100</v>
      </c>
      <c r="G19" s="182">
        <v>0</v>
      </c>
      <c r="H19" s="182">
        <v>258</v>
      </c>
      <c r="I19" s="182">
        <v>195</v>
      </c>
      <c r="J19" s="182">
        <v>302</v>
      </c>
      <c r="K19" s="182">
        <v>89</v>
      </c>
      <c r="L19" s="182">
        <v>329</v>
      </c>
      <c r="M19" s="182">
        <v>235</v>
      </c>
      <c r="N19" s="182">
        <v>160</v>
      </c>
      <c r="O19" s="182">
        <v>745</v>
      </c>
      <c r="P19" s="182">
        <v>218</v>
      </c>
      <c r="Q19" s="182">
        <v>402</v>
      </c>
      <c r="R19" s="182"/>
      <c r="S19" s="182">
        <v>133</v>
      </c>
      <c r="T19" s="182"/>
      <c r="U19" s="182">
        <v>0</v>
      </c>
      <c r="V19" s="182"/>
      <c r="W19" s="182">
        <v>0</v>
      </c>
      <c r="X19" s="182"/>
      <c r="Y19" s="182">
        <v>0</v>
      </c>
      <c r="Z19" s="182"/>
      <c r="AA19" s="182">
        <v>0</v>
      </c>
      <c r="AB19" s="182"/>
      <c r="AC19" s="182" t="s">
        <v>23</v>
      </c>
      <c r="AD19" s="182"/>
      <c r="AE19" s="182" t="s">
        <v>23</v>
      </c>
      <c r="AF19" s="182"/>
      <c r="AG19" s="182" t="s">
        <v>23</v>
      </c>
      <c r="AH19" s="182"/>
      <c r="AI19" s="182" t="s">
        <v>23</v>
      </c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</row>
    <row r="20" spans="1:54" ht="15.75" customHeight="1">
      <c r="A20" s="182" t="s">
        <v>120</v>
      </c>
      <c r="B20" s="182" t="s">
        <v>58</v>
      </c>
      <c r="C20" s="182" t="s">
        <v>28</v>
      </c>
      <c r="D20" s="182"/>
      <c r="E20" s="182">
        <v>0</v>
      </c>
      <c r="F20" s="182">
        <v>0</v>
      </c>
      <c r="G20" s="182">
        <v>0</v>
      </c>
      <c r="H20" s="182">
        <v>0</v>
      </c>
      <c r="I20" s="182">
        <v>228</v>
      </c>
      <c r="J20" s="182">
        <v>0</v>
      </c>
      <c r="K20" s="182">
        <v>0</v>
      </c>
      <c r="L20" s="182">
        <v>454</v>
      </c>
      <c r="M20" s="182">
        <v>678</v>
      </c>
      <c r="N20" s="182">
        <v>52</v>
      </c>
      <c r="O20" s="182">
        <v>678</v>
      </c>
      <c r="P20" s="182">
        <v>0</v>
      </c>
      <c r="Q20" s="182">
        <v>678</v>
      </c>
      <c r="R20" s="182"/>
      <c r="S20" s="182">
        <v>364</v>
      </c>
      <c r="T20" s="182"/>
      <c r="U20" s="182">
        <v>0</v>
      </c>
      <c r="V20" s="182"/>
      <c r="W20" s="182">
        <v>0</v>
      </c>
      <c r="X20" s="182"/>
      <c r="Y20" s="182">
        <v>0</v>
      </c>
      <c r="Z20" s="182"/>
      <c r="AA20" s="182">
        <v>0</v>
      </c>
      <c r="AB20" s="182"/>
      <c r="AC20" s="182">
        <v>0</v>
      </c>
      <c r="AD20" s="182"/>
      <c r="AE20" s="182">
        <v>0</v>
      </c>
      <c r="AF20" s="182"/>
      <c r="AG20" s="182">
        <v>0</v>
      </c>
      <c r="AH20" s="182"/>
      <c r="AI20" s="182">
        <v>0</v>
      </c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</row>
    <row r="21" spans="1:54" ht="15.75" customHeight="1">
      <c r="A21" s="182" t="s">
        <v>120</v>
      </c>
      <c r="B21" s="182" t="s">
        <v>58</v>
      </c>
      <c r="C21" s="182" t="s">
        <v>16</v>
      </c>
      <c r="D21" s="182"/>
      <c r="E21" s="182">
        <v>0</v>
      </c>
      <c r="F21" s="182">
        <v>47</v>
      </c>
      <c r="G21" s="182">
        <v>0</v>
      </c>
      <c r="H21" s="182">
        <v>10</v>
      </c>
      <c r="I21" s="182">
        <v>78</v>
      </c>
      <c r="J21" s="182">
        <v>0</v>
      </c>
      <c r="K21" s="182">
        <v>78</v>
      </c>
      <c r="L21" s="182">
        <v>512</v>
      </c>
      <c r="M21" s="182">
        <v>0</v>
      </c>
      <c r="N21" s="182">
        <v>68</v>
      </c>
      <c r="O21" s="182">
        <v>0</v>
      </c>
      <c r="P21" s="182">
        <v>0</v>
      </c>
      <c r="Q21" s="182">
        <v>50</v>
      </c>
      <c r="R21" s="182"/>
      <c r="S21" s="182">
        <v>78</v>
      </c>
      <c r="T21" s="182"/>
      <c r="U21" s="182">
        <v>156</v>
      </c>
      <c r="V21" s="182"/>
      <c r="W21" s="182">
        <v>106</v>
      </c>
      <c r="X21" s="182"/>
      <c r="Y21" s="182">
        <v>106</v>
      </c>
      <c r="Z21" s="182"/>
      <c r="AA21" s="182">
        <v>128</v>
      </c>
      <c r="AB21" s="182"/>
      <c r="AC21" s="182">
        <v>0</v>
      </c>
      <c r="AD21" s="182"/>
      <c r="AE21" s="182">
        <v>0</v>
      </c>
      <c r="AF21" s="182"/>
      <c r="AG21" s="182">
        <v>0</v>
      </c>
      <c r="AH21" s="182"/>
      <c r="AI21" s="182">
        <v>0</v>
      </c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</row>
    <row r="22" spans="1:54" ht="15.75" customHeight="1">
      <c r="A22" s="182" t="s">
        <v>120</v>
      </c>
      <c r="B22" s="182" t="s">
        <v>58</v>
      </c>
      <c r="C22" s="182" t="s">
        <v>17</v>
      </c>
      <c r="D22" s="182"/>
      <c r="E22" s="182">
        <v>0</v>
      </c>
      <c r="F22" s="182">
        <v>102</v>
      </c>
      <c r="G22" s="182">
        <v>0</v>
      </c>
      <c r="H22" s="182">
        <v>628</v>
      </c>
      <c r="I22" s="187">
        <v>1212</v>
      </c>
      <c r="J22" s="182">
        <v>404</v>
      </c>
      <c r="K22" s="187">
        <v>1075</v>
      </c>
      <c r="L22" s="182">
        <v>0</v>
      </c>
      <c r="M22" s="182">
        <v>0</v>
      </c>
      <c r="N22" s="182">
        <v>627</v>
      </c>
      <c r="O22" s="182">
        <v>0</v>
      </c>
      <c r="P22" s="182">
        <v>426</v>
      </c>
      <c r="Q22" s="182">
        <v>0</v>
      </c>
      <c r="R22" s="182"/>
      <c r="S22" s="182">
        <v>0</v>
      </c>
      <c r="T22" s="182"/>
      <c r="U22" s="182">
        <v>0</v>
      </c>
      <c r="V22" s="182"/>
      <c r="W22" s="182">
        <v>0</v>
      </c>
      <c r="X22" s="182"/>
      <c r="Y22" s="182">
        <v>0</v>
      </c>
      <c r="Z22" s="182"/>
      <c r="AA22" s="182">
        <v>0</v>
      </c>
      <c r="AB22" s="182"/>
      <c r="AC22" s="182">
        <v>0</v>
      </c>
      <c r="AD22" s="182"/>
      <c r="AE22" s="182">
        <v>0</v>
      </c>
      <c r="AF22" s="182"/>
      <c r="AG22" s="182">
        <v>0</v>
      </c>
      <c r="AH22" s="182"/>
      <c r="AI22" s="182">
        <v>0</v>
      </c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</row>
    <row r="23" spans="1:54" ht="15.75" customHeight="1">
      <c r="A23" s="182" t="s">
        <v>120</v>
      </c>
      <c r="B23" s="182" t="s">
        <v>58</v>
      </c>
      <c r="C23" s="182" t="s">
        <v>122</v>
      </c>
      <c r="D23" s="182"/>
      <c r="E23" s="182">
        <v>0</v>
      </c>
      <c r="F23" s="182" t="s">
        <v>123</v>
      </c>
      <c r="G23" s="182">
        <v>0</v>
      </c>
      <c r="H23" s="182" t="s">
        <v>123</v>
      </c>
      <c r="I23" s="182">
        <v>0</v>
      </c>
      <c r="J23" s="182" t="s">
        <v>123</v>
      </c>
      <c r="K23" s="182">
        <v>0</v>
      </c>
      <c r="L23" s="182" t="s">
        <v>123</v>
      </c>
      <c r="M23" s="182">
        <v>121</v>
      </c>
      <c r="N23" s="182" t="s">
        <v>123</v>
      </c>
      <c r="O23" s="182">
        <v>0</v>
      </c>
      <c r="P23" s="182" t="s">
        <v>123</v>
      </c>
      <c r="Q23" s="182">
        <v>0</v>
      </c>
      <c r="R23" s="182"/>
      <c r="S23" s="182">
        <v>0</v>
      </c>
      <c r="T23" s="182"/>
      <c r="U23" s="182">
        <v>0</v>
      </c>
      <c r="V23" s="182"/>
      <c r="W23" s="182">
        <v>0</v>
      </c>
      <c r="X23" s="182"/>
      <c r="Y23" s="182">
        <v>0</v>
      </c>
      <c r="Z23" s="182"/>
      <c r="AA23" s="182">
        <v>0</v>
      </c>
      <c r="AB23" s="182"/>
      <c r="AC23" s="182">
        <v>0</v>
      </c>
      <c r="AD23" s="182"/>
      <c r="AE23" s="182">
        <v>0</v>
      </c>
      <c r="AF23" s="182"/>
      <c r="AG23" s="182">
        <v>0</v>
      </c>
      <c r="AH23" s="182"/>
      <c r="AI23" s="182">
        <v>0</v>
      </c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</row>
    <row r="24" spans="1:54" ht="15.75" customHeight="1">
      <c r="A24" s="182" t="s">
        <v>120</v>
      </c>
      <c r="B24" s="182" t="s">
        <v>59</v>
      </c>
      <c r="C24" s="182" t="s">
        <v>121</v>
      </c>
      <c r="D24" s="182"/>
      <c r="E24" s="182">
        <v>0</v>
      </c>
      <c r="F24" s="182">
        <v>407</v>
      </c>
      <c r="G24" s="182">
        <v>0</v>
      </c>
      <c r="H24" s="182">
        <v>487</v>
      </c>
      <c r="I24" s="182">
        <v>395</v>
      </c>
      <c r="J24" s="182">
        <v>438</v>
      </c>
      <c r="K24" s="182">
        <v>88</v>
      </c>
      <c r="L24" s="182">
        <v>79</v>
      </c>
      <c r="M24" s="182">
        <v>195</v>
      </c>
      <c r="N24" s="182">
        <v>784</v>
      </c>
      <c r="O24" s="182">
        <v>689</v>
      </c>
      <c r="P24" s="182">
        <v>87</v>
      </c>
      <c r="Q24" s="182">
        <v>1290</v>
      </c>
      <c r="R24" s="182"/>
      <c r="S24" s="182">
        <v>1304</v>
      </c>
      <c r="T24" s="182"/>
      <c r="U24" s="187">
        <v>1281</v>
      </c>
      <c r="V24" s="187"/>
      <c r="W24" s="187">
        <v>1051</v>
      </c>
      <c r="X24" s="187"/>
      <c r="Y24" s="187">
        <v>1174</v>
      </c>
      <c r="Z24" s="187"/>
      <c r="AA24" s="187">
        <v>1279</v>
      </c>
      <c r="AB24" s="187"/>
      <c r="AC24" s="182" t="s">
        <v>23</v>
      </c>
      <c r="AD24" s="182"/>
      <c r="AE24" s="182" t="s">
        <v>23</v>
      </c>
      <c r="AF24" s="182"/>
      <c r="AG24" s="182" t="s">
        <v>23</v>
      </c>
      <c r="AH24" s="182"/>
      <c r="AI24" s="182" t="s">
        <v>23</v>
      </c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</row>
    <row r="25" spans="1:54" ht="15.75" customHeight="1">
      <c r="A25" s="182" t="s">
        <v>120</v>
      </c>
      <c r="B25" s="182" t="s">
        <v>59</v>
      </c>
      <c r="C25" s="182" t="s">
        <v>28</v>
      </c>
      <c r="D25" s="182"/>
      <c r="E25" s="182">
        <v>0</v>
      </c>
      <c r="F25" s="182">
        <v>0</v>
      </c>
      <c r="G25" s="182">
        <v>0</v>
      </c>
      <c r="H25" s="182">
        <v>0</v>
      </c>
      <c r="I25" s="182">
        <v>220</v>
      </c>
      <c r="J25" s="182">
        <v>0</v>
      </c>
      <c r="K25" s="182">
        <v>0</v>
      </c>
      <c r="L25" s="182">
        <v>234</v>
      </c>
      <c r="M25" s="182">
        <v>698</v>
      </c>
      <c r="N25" s="182">
        <v>65</v>
      </c>
      <c r="O25" s="182">
        <v>698</v>
      </c>
      <c r="P25" s="182">
        <v>0</v>
      </c>
      <c r="Q25" s="182">
        <v>698</v>
      </c>
      <c r="R25" s="182"/>
      <c r="S25" s="182">
        <v>590</v>
      </c>
      <c r="T25" s="182"/>
      <c r="U25" s="182">
        <v>957</v>
      </c>
      <c r="V25" s="182"/>
      <c r="W25" s="182">
        <v>0</v>
      </c>
      <c r="X25" s="182"/>
      <c r="Y25" s="182">
        <v>0</v>
      </c>
      <c r="Z25" s="182"/>
      <c r="AA25" s="182">
        <v>0</v>
      </c>
      <c r="AB25" s="182"/>
      <c r="AC25" s="182">
        <v>0</v>
      </c>
      <c r="AD25" s="182"/>
      <c r="AE25" s="182">
        <v>0</v>
      </c>
      <c r="AF25" s="182"/>
      <c r="AG25" s="182">
        <v>0</v>
      </c>
      <c r="AH25" s="182"/>
      <c r="AI25" s="182">
        <v>0</v>
      </c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</row>
    <row r="26" spans="1:54" ht="15.75" customHeight="1">
      <c r="A26" s="182" t="s">
        <v>120</v>
      </c>
      <c r="B26" s="182" t="s">
        <v>59</v>
      </c>
      <c r="C26" s="182" t="s">
        <v>16</v>
      </c>
      <c r="D26" s="182"/>
      <c r="E26" s="182">
        <v>0</v>
      </c>
      <c r="F26" s="182">
        <v>0</v>
      </c>
      <c r="G26" s="182">
        <v>0</v>
      </c>
      <c r="H26" s="182">
        <v>0</v>
      </c>
      <c r="I26" s="182">
        <v>88</v>
      </c>
      <c r="J26" s="182">
        <v>0</v>
      </c>
      <c r="K26" s="182">
        <v>88</v>
      </c>
      <c r="L26" s="182">
        <v>234</v>
      </c>
      <c r="M26" s="182">
        <v>0</v>
      </c>
      <c r="N26" s="182">
        <v>65</v>
      </c>
      <c r="O26" s="182">
        <v>0</v>
      </c>
      <c r="P26" s="182">
        <v>0</v>
      </c>
      <c r="Q26" s="182">
        <v>42</v>
      </c>
      <c r="R26" s="182"/>
      <c r="S26" s="182">
        <v>88</v>
      </c>
      <c r="T26" s="182"/>
      <c r="U26" s="182">
        <v>176</v>
      </c>
      <c r="V26" s="182"/>
      <c r="W26" s="182">
        <v>298</v>
      </c>
      <c r="X26" s="182"/>
      <c r="Y26" s="182">
        <v>298</v>
      </c>
      <c r="Z26" s="182"/>
      <c r="AA26" s="182">
        <v>298</v>
      </c>
      <c r="AB26" s="182"/>
      <c r="AC26" s="182">
        <v>220</v>
      </c>
      <c r="AD26" s="182"/>
      <c r="AE26" s="182">
        <v>94</v>
      </c>
      <c r="AF26" s="182"/>
      <c r="AG26" s="182">
        <v>0</v>
      </c>
      <c r="AH26" s="182"/>
      <c r="AI26" s="182">
        <v>0</v>
      </c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</row>
    <row r="27" spans="1:54" ht="15.75" customHeight="1">
      <c r="A27" s="182" t="s">
        <v>120</v>
      </c>
      <c r="B27" s="182" t="s">
        <v>59</v>
      </c>
      <c r="C27" s="182" t="s">
        <v>17</v>
      </c>
      <c r="D27" s="182"/>
      <c r="E27" s="182">
        <v>0</v>
      </c>
      <c r="F27" s="182">
        <v>213</v>
      </c>
      <c r="G27" s="182">
        <v>0</v>
      </c>
      <c r="H27" s="182">
        <v>691</v>
      </c>
      <c r="I27" s="182">
        <v>989</v>
      </c>
      <c r="J27" s="182">
        <v>617</v>
      </c>
      <c r="K27" s="182">
        <v>989</v>
      </c>
      <c r="L27" s="182">
        <v>13</v>
      </c>
      <c r="M27" s="182">
        <v>586</v>
      </c>
      <c r="N27" s="182">
        <v>258</v>
      </c>
      <c r="O27" s="182">
        <v>0</v>
      </c>
      <c r="P27" s="182">
        <v>348</v>
      </c>
      <c r="Q27" s="182">
        <v>0</v>
      </c>
      <c r="R27" s="182"/>
      <c r="S27" s="182">
        <v>0</v>
      </c>
      <c r="T27" s="182"/>
      <c r="U27" s="182">
        <v>0</v>
      </c>
      <c r="V27" s="182"/>
      <c r="W27" s="182">
        <v>0</v>
      </c>
      <c r="X27" s="182"/>
      <c r="Y27" s="182">
        <v>0</v>
      </c>
      <c r="Z27" s="182"/>
      <c r="AA27" s="182">
        <v>0</v>
      </c>
      <c r="AB27" s="182"/>
      <c r="AC27" s="182">
        <v>0</v>
      </c>
      <c r="AD27" s="182"/>
      <c r="AE27" s="182">
        <v>0</v>
      </c>
      <c r="AF27" s="182"/>
      <c r="AG27" s="182">
        <v>0</v>
      </c>
      <c r="AH27" s="182"/>
      <c r="AI27" s="182">
        <v>0</v>
      </c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</row>
    <row r="28" spans="1:54" ht="15.75" customHeight="1">
      <c r="A28" s="182" t="s">
        <v>120</v>
      </c>
      <c r="B28" s="182" t="s">
        <v>59</v>
      </c>
      <c r="C28" s="182" t="s">
        <v>122</v>
      </c>
      <c r="D28" s="182"/>
      <c r="E28" s="182">
        <v>0</v>
      </c>
      <c r="F28" s="182" t="s">
        <v>123</v>
      </c>
      <c r="G28" s="182">
        <v>0</v>
      </c>
      <c r="H28" s="182" t="s">
        <v>123</v>
      </c>
      <c r="I28" s="182">
        <v>0</v>
      </c>
      <c r="J28" s="182" t="s">
        <v>123</v>
      </c>
      <c r="K28" s="182">
        <v>0</v>
      </c>
      <c r="L28" s="182" t="s">
        <v>123</v>
      </c>
      <c r="M28" s="182">
        <v>30</v>
      </c>
      <c r="N28" s="182" t="s">
        <v>123</v>
      </c>
      <c r="O28" s="182">
        <v>0</v>
      </c>
      <c r="P28" s="182" t="s">
        <v>123</v>
      </c>
      <c r="Q28" s="182">
        <v>0</v>
      </c>
      <c r="R28" s="182"/>
      <c r="S28" s="182">
        <v>0</v>
      </c>
      <c r="T28" s="182"/>
      <c r="U28" s="182">
        <v>0</v>
      </c>
      <c r="V28" s="182"/>
      <c r="W28" s="182">
        <v>0</v>
      </c>
      <c r="X28" s="182"/>
      <c r="Y28" s="182">
        <v>0</v>
      </c>
      <c r="Z28" s="182"/>
      <c r="AA28" s="182">
        <v>0</v>
      </c>
      <c r="AB28" s="182"/>
      <c r="AC28" s="182">
        <v>0</v>
      </c>
      <c r="AD28" s="182"/>
      <c r="AE28" s="182">
        <v>0</v>
      </c>
      <c r="AF28" s="182"/>
      <c r="AG28" s="182">
        <v>0</v>
      </c>
      <c r="AH28" s="182"/>
      <c r="AI28" s="182">
        <v>0</v>
      </c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</row>
    <row r="29" spans="1:54" ht="15.75" customHeight="1">
      <c r="A29" s="182" t="s">
        <v>120</v>
      </c>
      <c r="B29" s="182" t="s">
        <v>61</v>
      </c>
      <c r="C29" s="182" t="s">
        <v>121</v>
      </c>
      <c r="D29" s="182"/>
      <c r="E29" s="182">
        <v>0</v>
      </c>
      <c r="F29" s="182">
        <v>102</v>
      </c>
      <c r="G29" s="182">
        <v>0</v>
      </c>
      <c r="H29" s="182">
        <v>74</v>
      </c>
      <c r="I29" s="182">
        <v>226</v>
      </c>
      <c r="J29" s="182">
        <v>39</v>
      </c>
      <c r="K29" s="182">
        <v>93</v>
      </c>
      <c r="L29" s="182">
        <v>23</v>
      </c>
      <c r="M29" s="182">
        <v>268</v>
      </c>
      <c r="N29" s="182">
        <v>191</v>
      </c>
      <c r="O29" s="182">
        <v>556</v>
      </c>
      <c r="P29" s="182">
        <v>77</v>
      </c>
      <c r="Q29" s="182">
        <v>102</v>
      </c>
      <c r="R29" s="182"/>
      <c r="S29" s="182">
        <v>0</v>
      </c>
      <c r="T29" s="182"/>
      <c r="U29" s="182">
        <v>0</v>
      </c>
      <c r="V29" s="182"/>
      <c r="W29" s="182">
        <v>0</v>
      </c>
      <c r="X29" s="182"/>
      <c r="Y29" s="182">
        <v>0</v>
      </c>
      <c r="Z29" s="182"/>
      <c r="AA29" s="182">
        <v>0</v>
      </c>
      <c r="AB29" s="182"/>
      <c r="AC29" s="182" t="s">
        <v>23</v>
      </c>
      <c r="AD29" s="182"/>
      <c r="AE29" s="182" t="s">
        <v>23</v>
      </c>
      <c r="AF29" s="182"/>
      <c r="AG29" s="182" t="s">
        <v>23</v>
      </c>
      <c r="AH29" s="182"/>
      <c r="AI29" s="182" t="s">
        <v>23</v>
      </c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</row>
    <row r="30" spans="1:54" ht="15.75" customHeight="1">
      <c r="A30" s="182" t="s">
        <v>120</v>
      </c>
      <c r="B30" s="182" t="s">
        <v>61</v>
      </c>
      <c r="C30" s="182" t="s">
        <v>28</v>
      </c>
      <c r="D30" s="182"/>
      <c r="E30" s="182">
        <v>0</v>
      </c>
      <c r="F30" s="182">
        <v>0</v>
      </c>
      <c r="G30" s="182">
        <v>0</v>
      </c>
      <c r="H30" s="182">
        <v>0</v>
      </c>
      <c r="I30" s="182">
        <v>320</v>
      </c>
      <c r="J30" s="182">
        <v>65</v>
      </c>
      <c r="K30" s="182">
        <v>0</v>
      </c>
      <c r="L30" s="182">
        <v>948</v>
      </c>
      <c r="M30" s="182">
        <v>698</v>
      </c>
      <c r="N30" s="182">
        <v>360</v>
      </c>
      <c r="O30" s="182">
        <v>698</v>
      </c>
      <c r="P30" s="182">
        <v>610</v>
      </c>
      <c r="Q30" s="182">
        <v>698</v>
      </c>
      <c r="R30" s="182"/>
      <c r="S30" s="182">
        <v>134</v>
      </c>
      <c r="T30" s="182"/>
      <c r="U30" s="182">
        <v>0</v>
      </c>
      <c r="V30" s="182"/>
      <c r="W30" s="182">
        <v>0</v>
      </c>
      <c r="X30" s="182"/>
      <c r="Y30" s="182">
        <v>0</v>
      </c>
      <c r="Z30" s="182"/>
      <c r="AA30" s="182">
        <v>0</v>
      </c>
      <c r="AB30" s="182"/>
      <c r="AC30" s="182">
        <v>0</v>
      </c>
      <c r="AD30" s="182"/>
      <c r="AE30" s="182">
        <v>0</v>
      </c>
      <c r="AF30" s="182"/>
      <c r="AG30" s="182">
        <v>0</v>
      </c>
      <c r="AH30" s="182"/>
      <c r="AI30" s="182">
        <v>0</v>
      </c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</row>
    <row r="31" spans="1:54" ht="15.75" customHeight="1">
      <c r="A31" s="182" t="s">
        <v>120</v>
      </c>
      <c r="B31" s="182" t="s">
        <v>61</v>
      </c>
      <c r="C31" s="182" t="s">
        <v>16</v>
      </c>
      <c r="D31" s="182"/>
      <c r="E31" s="182">
        <v>0</v>
      </c>
      <c r="F31" s="182">
        <v>0</v>
      </c>
      <c r="G31" s="182">
        <v>0</v>
      </c>
      <c r="H31" s="182">
        <v>10</v>
      </c>
      <c r="I31" s="182">
        <v>98</v>
      </c>
      <c r="J31" s="182">
        <v>65</v>
      </c>
      <c r="K31" s="182">
        <v>98</v>
      </c>
      <c r="L31" s="182">
        <v>948</v>
      </c>
      <c r="M31" s="182">
        <v>0</v>
      </c>
      <c r="N31" s="182">
        <v>360</v>
      </c>
      <c r="O31" s="182">
        <v>0</v>
      </c>
      <c r="P31" s="182">
        <v>610</v>
      </c>
      <c r="Q31" s="182">
        <v>72</v>
      </c>
      <c r="R31" s="182"/>
      <c r="S31" s="182">
        <v>98</v>
      </c>
      <c r="T31" s="182"/>
      <c r="U31" s="182">
        <v>196</v>
      </c>
      <c r="V31" s="182"/>
      <c r="W31" s="182">
        <v>368</v>
      </c>
      <c r="X31" s="182"/>
      <c r="Y31" s="182">
        <v>127</v>
      </c>
      <c r="Z31" s="182"/>
      <c r="AA31" s="182">
        <v>0</v>
      </c>
      <c r="AB31" s="182"/>
      <c r="AC31" s="182">
        <v>0</v>
      </c>
      <c r="AD31" s="182"/>
      <c r="AE31" s="182">
        <v>0</v>
      </c>
      <c r="AF31" s="182"/>
      <c r="AG31" s="182">
        <v>0</v>
      </c>
      <c r="AH31" s="182"/>
      <c r="AI31" s="182">
        <v>0</v>
      </c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</row>
    <row r="32" spans="1:54" ht="15.75" customHeight="1">
      <c r="A32" s="182" t="s">
        <v>120</v>
      </c>
      <c r="B32" s="182" t="s">
        <v>61</v>
      </c>
      <c r="C32" s="182" t="s">
        <v>17</v>
      </c>
      <c r="D32" s="182"/>
      <c r="E32" s="182">
        <v>0</v>
      </c>
      <c r="F32" s="182">
        <v>705</v>
      </c>
      <c r="G32" s="182">
        <v>0</v>
      </c>
      <c r="H32" s="182">
        <v>2459</v>
      </c>
      <c r="I32" s="182">
        <v>1112</v>
      </c>
      <c r="J32" s="182">
        <v>2876</v>
      </c>
      <c r="K32" s="182">
        <v>1112</v>
      </c>
      <c r="L32" s="182">
        <v>34</v>
      </c>
      <c r="M32" s="182">
        <v>1112</v>
      </c>
      <c r="N32" s="182">
        <v>1132</v>
      </c>
      <c r="O32" s="182">
        <v>1112</v>
      </c>
      <c r="P32" s="182">
        <v>70</v>
      </c>
      <c r="Q32" s="182">
        <v>1112</v>
      </c>
      <c r="R32" s="182"/>
      <c r="S32" s="182">
        <v>1112</v>
      </c>
      <c r="T32" s="182"/>
      <c r="U32" s="182">
        <v>754</v>
      </c>
      <c r="V32" s="182"/>
      <c r="W32" s="182">
        <v>0</v>
      </c>
      <c r="X32" s="182"/>
      <c r="Y32" s="182">
        <v>0</v>
      </c>
      <c r="Z32" s="182"/>
      <c r="AA32" s="182">
        <v>0</v>
      </c>
      <c r="AB32" s="182"/>
      <c r="AC32" s="182">
        <v>0</v>
      </c>
      <c r="AD32" s="182"/>
      <c r="AE32" s="182">
        <v>0</v>
      </c>
      <c r="AF32" s="182"/>
      <c r="AG32" s="182">
        <v>0</v>
      </c>
      <c r="AH32" s="182"/>
      <c r="AI32" s="182">
        <v>0</v>
      </c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</row>
    <row r="33" spans="1:54" ht="15.75" customHeight="1">
      <c r="A33" s="182" t="s">
        <v>120</v>
      </c>
      <c r="B33" s="182" t="s">
        <v>61</v>
      </c>
      <c r="C33" s="182" t="s">
        <v>122</v>
      </c>
      <c r="D33" s="182"/>
      <c r="E33" s="182">
        <v>0</v>
      </c>
      <c r="F33" s="182" t="s">
        <v>123</v>
      </c>
      <c r="G33" s="182">
        <v>0</v>
      </c>
      <c r="H33" s="182" t="s">
        <v>123</v>
      </c>
      <c r="I33" s="182">
        <v>0</v>
      </c>
      <c r="J33" s="182" t="s">
        <v>123</v>
      </c>
      <c r="K33" s="182">
        <v>0</v>
      </c>
      <c r="L33" s="182" t="s">
        <v>123</v>
      </c>
      <c r="M33" s="182">
        <v>250</v>
      </c>
      <c r="N33" s="182" t="s">
        <v>123</v>
      </c>
      <c r="O33" s="182">
        <v>0</v>
      </c>
      <c r="P33" s="182" t="s">
        <v>123</v>
      </c>
      <c r="Q33" s="182">
        <v>0</v>
      </c>
      <c r="R33" s="182"/>
      <c r="S33" s="182">
        <v>0</v>
      </c>
      <c r="T33" s="182"/>
      <c r="U33" s="182">
        <v>0</v>
      </c>
      <c r="V33" s="182"/>
      <c r="W33" s="182">
        <v>0</v>
      </c>
      <c r="X33" s="182"/>
      <c r="Y33" s="182">
        <v>0</v>
      </c>
      <c r="Z33" s="182"/>
      <c r="AA33" s="182">
        <v>0</v>
      </c>
      <c r="AB33" s="182"/>
      <c r="AC33" s="182">
        <v>0</v>
      </c>
      <c r="AD33" s="182"/>
      <c r="AE33" s="182">
        <v>0</v>
      </c>
      <c r="AF33" s="182"/>
      <c r="AG33" s="182">
        <v>0</v>
      </c>
      <c r="AH33" s="182"/>
      <c r="AI33" s="182">
        <v>0</v>
      </c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</row>
    <row r="34" spans="1:54" ht="15.75" customHeight="1">
      <c r="A34" s="182" t="s">
        <v>120</v>
      </c>
      <c r="B34" s="182" t="s">
        <v>62</v>
      </c>
      <c r="C34" s="182" t="s">
        <v>121</v>
      </c>
      <c r="D34" s="182"/>
      <c r="E34" s="182">
        <v>0</v>
      </c>
      <c r="F34" s="182">
        <v>261</v>
      </c>
      <c r="G34" s="182">
        <v>0</v>
      </c>
      <c r="H34" s="182">
        <v>189</v>
      </c>
      <c r="I34" s="182">
        <v>207</v>
      </c>
      <c r="J34" s="182">
        <v>76</v>
      </c>
      <c r="K34" s="182">
        <v>86</v>
      </c>
      <c r="L34" s="182">
        <v>108</v>
      </c>
      <c r="M34" s="182">
        <v>235</v>
      </c>
      <c r="N34" s="182">
        <v>61</v>
      </c>
      <c r="O34" s="182">
        <v>786</v>
      </c>
      <c r="P34" s="182">
        <v>17</v>
      </c>
      <c r="Q34" s="182">
        <v>198</v>
      </c>
      <c r="R34" s="182"/>
      <c r="S34" s="182">
        <v>102</v>
      </c>
      <c r="T34" s="182"/>
      <c r="U34" s="182">
        <v>0</v>
      </c>
      <c r="V34" s="182"/>
      <c r="W34" s="182">
        <v>0</v>
      </c>
      <c r="X34" s="182"/>
      <c r="Y34" s="182">
        <v>0</v>
      </c>
      <c r="Z34" s="182"/>
      <c r="AA34" s="182">
        <v>0</v>
      </c>
      <c r="AB34" s="182"/>
      <c r="AC34" s="182" t="s">
        <v>23</v>
      </c>
      <c r="AD34" s="182"/>
      <c r="AE34" s="182" t="s">
        <v>23</v>
      </c>
      <c r="AF34" s="182"/>
      <c r="AG34" s="182" t="s">
        <v>23</v>
      </c>
      <c r="AH34" s="182"/>
      <c r="AI34" s="182" t="s">
        <v>23</v>
      </c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</row>
    <row r="35" spans="1:54" ht="15.75" customHeight="1">
      <c r="A35" s="182" t="s">
        <v>120</v>
      </c>
      <c r="B35" s="182" t="s">
        <v>62</v>
      </c>
      <c r="C35" s="182" t="s">
        <v>28</v>
      </c>
      <c r="D35" s="182"/>
      <c r="E35" s="182">
        <v>0</v>
      </c>
      <c r="F35" s="182">
        <v>0</v>
      </c>
      <c r="G35" s="182">
        <v>0</v>
      </c>
      <c r="H35" s="182">
        <v>0</v>
      </c>
      <c r="I35" s="182">
        <v>230</v>
      </c>
      <c r="J35" s="182">
        <v>0</v>
      </c>
      <c r="K35" s="182">
        <v>0</v>
      </c>
      <c r="L35" s="182">
        <v>0</v>
      </c>
      <c r="M35" s="182">
        <v>698</v>
      </c>
      <c r="N35" s="182">
        <v>607</v>
      </c>
      <c r="O35" s="182">
        <v>698</v>
      </c>
      <c r="P35" s="182">
        <v>464</v>
      </c>
      <c r="Q35" s="182">
        <v>698</v>
      </c>
      <c r="R35" s="182"/>
      <c r="S35" s="182">
        <v>527</v>
      </c>
      <c r="T35" s="182"/>
      <c r="U35" s="182">
        <v>230</v>
      </c>
      <c r="V35" s="182"/>
      <c r="W35" s="182">
        <v>0</v>
      </c>
      <c r="X35" s="182"/>
      <c r="Y35" s="182">
        <v>0</v>
      </c>
      <c r="Z35" s="182"/>
      <c r="AA35" s="182">
        <v>0</v>
      </c>
      <c r="AB35" s="182"/>
      <c r="AC35" s="182">
        <v>0</v>
      </c>
      <c r="AD35" s="182"/>
      <c r="AE35" s="182">
        <v>0</v>
      </c>
      <c r="AF35" s="182"/>
      <c r="AG35" s="182">
        <v>0</v>
      </c>
      <c r="AH35" s="182"/>
      <c r="AI35" s="182">
        <v>0</v>
      </c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</row>
    <row r="36" spans="1:54" ht="15.75" customHeight="1">
      <c r="A36" s="182" t="s">
        <v>120</v>
      </c>
      <c r="B36" s="182" t="s">
        <v>62</v>
      </c>
      <c r="C36" s="182" t="s">
        <v>16</v>
      </c>
      <c r="D36" s="182"/>
      <c r="E36" s="182">
        <v>0</v>
      </c>
      <c r="F36" s="182">
        <v>0</v>
      </c>
      <c r="G36" s="182">
        <v>0</v>
      </c>
      <c r="H36" s="182">
        <v>0</v>
      </c>
      <c r="I36" s="182">
        <v>96</v>
      </c>
      <c r="J36" s="182">
        <v>0</v>
      </c>
      <c r="K36" s="182">
        <v>96</v>
      </c>
      <c r="L36" s="182">
        <v>0</v>
      </c>
      <c r="M36" s="182">
        <v>0</v>
      </c>
      <c r="N36" s="182">
        <v>607</v>
      </c>
      <c r="O36" s="182">
        <v>0</v>
      </c>
      <c r="P36" s="182">
        <v>464</v>
      </c>
      <c r="Q36" s="182">
        <v>58</v>
      </c>
      <c r="R36" s="182"/>
      <c r="S36" s="182">
        <v>96</v>
      </c>
      <c r="T36" s="182"/>
      <c r="U36" s="182">
        <v>192</v>
      </c>
      <c r="V36" s="182"/>
      <c r="W36" s="182">
        <v>266</v>
      </c>
      <c r="X36" s="182"/>
      <c r="Y36" s="182">
        <v>266</v>
      </c>
      <c r="Z36" s="182"/>
      <c r="AA36" s="182">
        <v>266</v>
      </c>
      <c r="AB36" s="182"/>
      <c r="AC36" s="182">
        <v>184</v>
      </c>
      <c r="AD36" s="182"/>
      <c r="AE36" s="182">
        <v>0</v>
      </c>
      <c r="AF36" s="182"/>
      <c r="AG36" s="182">
        <v>0</v>
      </c>
      <c r="AH36" s="182"/>
      <c r="AI36" s="182">
        <v>0</v>
      </c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</row>
    <row r="37" spans="1:54" ht="15.75" customHeight="1">
      <c r="A37" s="182" t="s">
        <v>120</v>
      </c>
      <c r="B37" s="182" t="s">
        <v>62</v>
      </c>
      <c r="C37" s="182" t="s">
        <v>17</v>
      </c>
      <c r="D37" s="182"/>
      <c r="E37" s="182">
        <v>0</v>
      </c>
      <c r="F37" s="182">
        <v>0</v>
      </c>
      <c r="G37" s="182">
        <v>0</v>
      </c>
      <c r="H37" s="182">
        <v>403</v>
      </c>
      <c r="I37" s="187">
        <v>1010</v>
      </c>
      <c r="J37" s="182">
        <v>692</v>
      </c>
      <c r="K37" s="187">
        <v>1010</v>
      </c>
      <c r="L37" s="182">
        <v>0</v>
      </c>
      <c r="M37" s="187">
        <v>1010</v>
      </c>
      <c r="N37" s="182">
        <v>543</v>
      </c>
      <c r="O37" s="182">
        <v>1010</v>
      </c>
      <c r="P37" s="182">
        <v>744</v>
      </c>
      <c r="Q37" s="182">
        <v>994</v>
      </c>
      <c r="R37" s="182"/>
      <c r="S37" s="182">
        <v>0</v>
      </c>
      <c r="T37" s="182"/>
      <c r="U37" s="182">
        <v>0</v>
      </c>
      <c r="V37" s="182"/>
      <c r="W37" s="182">
        <v>0</v>
      </c>
      <c r="X37" s="182"/>
      <c r="Y37" s="182">
        <v>0</v>
      </c>
      <c r="Z37" s="182"/>
      <c r="AA37" s="182">
        <v>0</v>
      </c>
      <c r="AB37" s="182"/>
      <c r="AC37" s="182">
        <v>0</v>
      </c>
      <c r="AD37" s="182"/>
      <c r="AE37" s="182">
        <v>0</v>
      </c>
      <c r="AF37" s="182"/>
      <c r="AG37" s="182">
        <v>0</v>
      </c>
      <c r="AH37" s="182"/>
      <c r="AI37" s="182">
        <v>0</v>
      </c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</row>
    <row r="38" spans="1:54" ht="15.75" customHeight="1">
      <c r="A38" s="182" t="s">
        <v>120</v>
      </c>
      <c r="B38" s="182" t="s">
        <v>62</v>
      </c>
      <c r="C38" s="182" t="s">
        <v>122</v>
      </c>
      <c r="D38" s="182"/>
      <c r="E38" s="182">
        <v>0</v>
      </c>
      <c r="F38" s="182" t="s">
        <v>123</v>
      </c>
      <c r="G38" s="182">
        <v>0</v>
      </c>
      <c r="H38" s="182" t="s">
        <v>123</v>
      </c>
      <c r="I38" s="182">
        <v>0</v>
      </c>
      <c r="J38" s="182" t="s">
        <v>123</v>
      </c>
      <c r="K38" s="182">
        <v>0</v>
      </c>
      <c r="L38" s="182" t="s">
        <v>123</v>
      </c>
      <c r="M38" s="182">
        <v>96</v>
      </c>
      <c r="N38" s="182" t="s">
        <v>123</v>
      </c>
      <c r="O38" s="182">
        <v>0</v>
      </c>
      <c r="P38" s="182" t="s">
        <v>123</v>
      </c>
      <c r="Q38" s="182">
        <v>0</v>
      </c>
      <c r="R38" s="182"/>
      <c r="S38" s="182">
        <v>0</v>
      </c>
      <c r="T38" s="182"/>
      <c r="U38" s="182">
        <v>0</v>
      </c>
      <c r="V38" s="182"/>
      <c r="W38" s="182">
        <v>0</v>
      </c>
      <c r="X38" s="182"/>
      <c r="Y38" s="182">
        <v>0</v>
      </c>
      <c r="Z38" s="182"/>
      <c r="AA38" s="182">
        <v>0</v>
      </c>
      <c r="AB38" s="182"/>
      <c r="AC38" s="182">
        <v>0</v>
      </c>
      <c r="AD38" s="182"/>
      <c r="AE38" s="182">
        <v>0</v>
      </c>
      <c r="AF38" s="182"/>
      <c r="AG38" s="182">
        <v>0</v>
      </c>
      <c r="AH38" s="182"/>
      <c r="AI38" s="182">
        <v>0</v>
      </c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</row>
    <row r="39" spans="1:54" ht="15.75" customHeight="1">
      <c r="A39" s="182" t="s">
        <v>120</v>
      </c>
      <c r="B39" s="182" t="s">
        <v>63</v>
      </c>
      <c r="C39" s="182" t="s">
        <v>121</v>
      </c>
      <c r="D39" s="182"/>
      <c r="E39" s="182">
        <v>0</v>
      </c>
      <c r="F39" s="182">
        <v>251</v>
      </c>
      <c r="G39" s="182">
        <v>0</v>
      </c>
      <c r="H39" s="182">
        <v>543</v>
      </c>
      <c r="I39" s="182">
        <v>395</v>
      </c>
      <c r="J39" s="182">
        <v>536</v>
      </c>
      <c r="K39" s="182">
        <v>132</v>
      </c>
      <c r="L39" s="182">
        <v>358</v>
      </c>
      <c r="M39" s="182">
        <v>341</v>
      </c>
      <c r="N39" s="182">
        <v>162</v>
      </c>
      <c r="O39" s="182">
        <v>949</v>
      </c>
      <c r="P39" s="182">
        <v>106</v>
      </c>
      <c r="Q39" s="182">
        <v>686</v>
      </c>
      <c r="R39" s="182"/>
      <c r="S39" s="182">
        <v>819</v>
      </c>
      <c r="T39" s="182"/>
      <c r="U39" s="182">
        <v>435</v>
      </c>
      <c r="V39" s="182"/>
      <c r="W39" s="182">
        <v>514</v>
      </c>
      <c r="X39" s="182"/>
      <c r="Y39" s="182">
        <v>395</v>
      </c>
      <c r="Z39" s="182"/>
      <c r="AA39" s="182">
        <v>348</v>
      </c>
      <c r="AB39" s="182"/>
      <c r="AC39" s="182">
        <v>0</v>
      </c>
      <c r="AD39" s="182"/>
      <c r="AE39" s="182" t="s">
        <v>23</v>
      </c>
      <c r="AF39" s="182"/>
      <c r="AG39" s="182" t="s">
        <v>23</v>
      </c>
      <c r="AH39" s="182"/>
      <c r="AI39" s="182" t="s">
        <v>23</v>
      </c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</row>
    <row r="40" spans="1:54" ht="15.75" customHeight="1">
      <c r="A40" s="182" t="s">
        <v>120</v>
      </c>
      <c r="B40" s="182" t="s">
        <v>63</v>
      </c>
      <c r="C40" s="182" t="s">
        <v>28</v>
      </c>
      <c r="D40" s="182"/>
      <c r="E40" s="182">
        <v>0</v>
      </c>
      <c r="F40" s="182">
        <v>0</v>
      </c>
      <c r="G40" s="182">
        <v>0</v>
      </c>
      <c r="H40" s="182">
        <v>0</v>
      </c>
      <c r="I40" s="182">
        <v>191</v>
      </c>
      <c r="J40" s="182">
        <v>0</v>
      </c>
      <c r="K40" s="182">
        <v>0</v>
      </c>
      <c r="L40" s="182">
        <v>298</v>
      </c>
      <c r="M40" s="182">
        <v>478</v>
      </c>
      <c r="N40" s="182">
        <v>780</v>
      </c>
      <c r="O40" s="182">
        <v>478</v>
      </c>
      <c r="P40" s="182">
        <v>403</v>
      </c>
      <c r="Q40" s="182">
        <v>478</v>
      </c>
      <c r="R40" s="182"/>
      <c r="S40" s="182">
        <v>287</v>
      </c>
      <c r="T40" s="182"/>
      <c r="U40" s="182">
        <v>0</v>
      </c>
      <c r="V40" s="182"/>
      <c r="W40" s="182">
        <v>0</v>
      </c>
      <c r="X40" s="182"/>
      <c r="Y40" s="182">
        <v>0</v>
      </c>
      <c r="Z40" s="182"/>
      <c r="AA40" s="182">
        <v>0</v>
      </c>
      <c r="AB40" s="182"/>
      <c r="AC40" s="182">
        <v>0</v>
      </c>
      <c r="AD40" s="182"/>
      <c r="AE40" s="182">
        <v>0</v>
      </c>
      <c r="AF40" s="182"/>
      <c r="AG40" s="182">
        <v>0</v>
      </c>
      <c r="AH40" s="182"/>
      <c r="AI40" s="182">
        <v>0</v>
      </c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</row>
    <row r="41" spans="1:54" ht="15.75" customHeight="1">
      <c r="A41" s="182" t="s">
        <v>120</v>
      </c>
      <c r="B41" s="182" t="s">
        <v>63</v>
      </c>
      <c r="C41" s="182" t="s">
        <v>16</v>
      </c>
      <c r="D41" s="182"/>
      <c r="E41" s="182">
        <v>0</v>
      </c>
      <c r="F41" s="182">
        <v>0</v>
      </c>
      <c r="G41" s="182">
        <v>0</v>
      </c>
      <c r="H41" s="182">
        <v>0</v>
      </c>
      <c r="I41" s="182">
        <v>116</v>
      </c>
      <c r="J41" s="182">
        <v>0</v>
      </c>
      <c r="K41" s="182">
        <v>116</v>
      </c>
      <c r="L41" s="182">
        <v>298</v>
      </c>
      <c r="M41" s="182">
        <v>0</v>
      </c>
      <c r="N41" s="182">
        <v>780</v>
      </c>
      <c r="O41" s="182">
        <v>0</v>
      </c>
      <c r="P41" s="182">
        <v>403</v>
      </c>
      <c r="Q41" s="182">
        <v>77</v>
      </c>
      <c r="R41" s="182"/>
      <c r="S41" s="182">
        <v>116</v>
      </c>
      <c r="T41" s="182"/>
      <c r="U41" s="182">
        <v>231</v>
      </c>
      <c r="V41" s="182"/>
      <c r="W41" s="182">
        <v>289</v>
      </c>
      <c r="X41" s="182"/>
      <c r="Y41" s="182">
        <v>289</v>
      </c>
      <c r="Z41" s="182"/>
      <c r="AA41" s="182">
        <v>347</v>
      </c>
      <c r="AB41" s="182"/>
      <c r="AC41" s="182">
        <v>231</v>
      </c>
      <c r="AD41" s="182"/>
      <c r="AE41" s="182">
        <v>231</v>
      </c>
      <c r="AF41" s="182"/>
      <c r="AG41" s="182">
        <v>116</v>
      </c>
      <c r="AH41" s="182"/>
      <c r="AI41" s="182">
        <v>0</v>
      </c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</row>
    <row r="42" spans="1:54" ht="15.75" customHeight="1">
      <c r="A42" s="182" t="s">
        <v>120</v>
      </c>
      <c r="B42" s="182" t="s">
        <v>63</v>
      </c>
      <c r="C42" s="182" t="s">
        <v>17</v>
      </c>
      <c r="D42" s="182"/>
      <c r="E42" s="182">
        <v>0</v>
      </c>
      <c r="F42" s="182">
        <v>99</v>
      </c>
      <c r="G42" s="182">
        <v>0</v>
      </c>
      <c r="H42" s="182">
        <v>2651</v>
      </c>
      <c r="I42" s="182">
        <v>989</v>
      </c>
      <c r="J42" s="182">
        <v>2442</v>
      </c>
      <c r="K42" s="182">
        <v>989</v>
      </c>
      <c r="L42" s="182">
        <v>0</v>
      </c>
      <c r="M42" s="182">
        <v>989</v>
      </c>
      <c r="N42" s="182">
        <v>2834</v>
      </c>
      <c r="O42" s="182">
        <v>989</v>
      </c>
      <c r="P42" s="182">
        <v>3001</v>
      </c>
      <c r="Q42" s="182">
        <v>989</v>
      </c>
      <c r="R42" s="182"/>
      <c r="S42" s="182">
        <v>989</v>
      </c>
      <c r="T42" s="182"/>
      <c r="U42" s="182">
        <v>989</v>
      </c>
      <c r="V42" s="182"/>
      <c r="W42" s="182">
        <v>989</v>
      </c>
      <c r="X42" s="182"/>
      <c r="Y42" s="182">
        <v>989</v>
      </c>
      <c r="Z42" s="182"/>
      <c r="AA42" s="182">
        <v>989</v>
      </c>
      <c r="AB42" s="182"/>
      <c r="AC42" s="182">
        <v>0</v>
      </c>
      <c r="AD42" s="182"/>
      <c r="AE42" s="182">
        <v>0</v>
      </c>
      <c r="AF42" s="182"/>
      <c r="AG42" s="182">
        <v>0</v>
      </c>
      <c r="AH42" s="182"/>
      <c r="AI42" s="182">
        <v>0</v>
      </c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</row>
    <row r="43" spans="1:54" ht="15.75" customHeight="1">
      <c r="A43" s="182" t="s">
        <v>120</v>
      </c>
      <c r="B43" s="182" t="s">
        <v>63</v>
      </c>
      <c r="C43" s="182" t="s">
        <v>122</v>
      </c>
      <c r="D43" s="182"/>
      <c r="E43" s="182">
        <v>0</v>
      </c>
      <c r="F43" s="182" t="s">
        <v>123</v>
      </c>
      <c r="G43" s="182">
        <v>0</v>
      </c>
      <c r="H43" s="182" t="s">
        <v>123</v>
      </c>
      <c r="I43" s="187">
        <v>1184</v>
      </c>
      <c r="J43" s="182" t="s">
        <v>123</v>
      </c>
      <c r="K43" s="182">
        <v>0</v>
      </c>
      <c r="L43" s="182" t="s">
        <v>123</v>
      </c>
      <c r="M43" s="182">
        <v>0</v>
      </c>
      <c r="N43" s="182" t="s">
        <v>123</v>
      </c>
      <c r="O43" s="182">
        <v>0</v>
      </c>
      <c r="P43" s="182" t="s">
        <v>123</v>
      </c>
      <c r="Q43" s="182">
        <v>0</v>
      </c>
      <c r="R43" s="182"/>
      <c r="S43" s="182">
        <v>0</v>
      </c>
      <c r="T43" s="182"/>
      <c r="U43" s="182">
        <v>0</v>
      </c>
      <c r="V43" s="182"/>
      <c r="W43" s="182">
        <v>0</v>
      </c>
      <c r="X43" s="182"/>
      <c r="Y43" s="182">
        <v>0</v>
      </c>
      <c r="Z43" s="182"/>
      <c r="AA43" s="182">
        <v>0</v>
      </c>
      <c r="AB43" s="182"/>
      <c r="AC43" s="182">
        <v>0</v>
      </c>
      <c r="AD43" s="182"/>
      <c r="AE43" s="182">
        <v>0</v>
      </c>
      <c r="AF43" s="182"/>
      <c r="AG43" s="182">
        <v>0</v>
      </c>
      <c r="AH43" s="182"/>
      <c r="AI43" s="182">
        <v>0</v>
      </c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</row>
    <row r="44" spans="1:54" ht="15.75" customHeight="1">
      <c r="A44" s="182" t="s">
        <v>120</v>
      </c>
      <c r="B44" s="182" t="s">
        <v>64</v>
      </c>
      <c r="C44" s="182" t="s">
        <v>121</v>
      </c>
      <c r="D44" s="182"/>
      <c r="E44" s="182">
        <v>0</v>
      </c>
      <c r="F44" s="182">
        <v>295</v>
      </c>
      <c r="G44" s="182">
        <v>0</v>
      </c>
      <c r="H44" s="182">
        <v>231</v>
      </c>
      <c r="I44" s="182">
        <v>286</v>
      </c>
      <c r="J44" s="182">
        <v>101</v>
      </c>
      <c r="K44" s="182">
        <v>98</v>
      </c>
      <c r="L44" s="182">
        <v>73</v>
      </c>
      <c r="M44" s="182">
        <v>262</v>
      </c>
      <c r="N44" s="182">
        <v>201</v>
      </c>
      <c r="O44" s="182">
        <v>452</v>
      </c>
      <c r="P44" s="182">
        <v>94</v>
      </c>
      <c r="Q44" s="182">
        <v>395</v>
      </c>
      <c r="R44" s="182"/>
      <c r="S44" s="182">
        <v>680</v>
      </c>
      <c r="T44" s="182"/>
      <c r="U44" s="182">
        <v>960</v>
      </c>
      <c r="V44" s="182"/>
      <c r="W44" s="182">
        <v>960</v>
      </c>
      <c r="X44" s="182"/>
      <c r="Y44" s="182">
        <v>960</v>
      </c>
      <c r="Z44" s="182"/>
      <c r="AA44" s="182">
        <v>960</v>
      </c>
      <c r="AB44" s="182"/>
      <c r="AC44" s="182" t="s">
        <v>23</v>
      </c>
      <c r="AD44" s="182"/>
      <c r="AE44" s="182" t="s">
        <v>23</v>
      </c>
      <c r="AF44" s="182"/>
      <c r="AG44" s="182" t="s">
        <v>23</v>
      </c>
      <c r="AH44" s="182"/>
      <c r="AI44" s="182" t="s">
        <v>23</v>
      </c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</row>
    <row r="45" spans="1:54" ht="15.75" customHeight="1">
      <c r="A45" s="182" t="s">
        <v>120</v>
      </c>
      <c r="B45" s="182" t="s">
        <v>64</v>
      </c>
      <c r="C45" s="182" t="s">
        <v>28</v>
      </c>
      <c r="D45" s="182"/>
      <c r="E45" s="182">
        <v>0</v>
      </c>
      <c r="F45" s="182">
        <v>0</v>
      </c>
      <c r="G45" s="182">
        <v>0</v>
      </c>
      <c r="H45" s="182">
        <v>0</v>
      </c>
      <c r="I45" s="182">
        <v>348</v>
      </c>
      <c r="J45" s="182">
        <v>0</v>
      </c>
      <c r="K45" s="182">
        <v>0</v>
      </c>
      <c r="L45" s="182">
        <v>85</v>
      </c>
      <c r="M45" s="182">
        <v>646</v>
      </c>
      <c r="N45" s="182">
        <v>52</v>
      </c>
      <c r="O45" s="182">
        <v>646</v>
      </c>
      <c r="P45" s="182">
        <v>39</v>
      </c>
      <c r="Q45" s="182">
        <v>646</v>
      </c>
      <c r="R45" s="182"/>
      <c r="S45" s="182">
        <v>262</v>
      </c>
      <c r="T45" s="182"/>
      <c r="U45" s="182">
        <v>0</v>
      </c>
      <c r="V45" s="182"/>
      <c r="W45" s="182">
        <v>0</v>
      </c>
      <c r="X45" s="182"/>
      <c r="Y45" s="182">
        <v>0</v>
      </c>
      <c r="Z45" s="182"/>
      <c r="AA45" s="182">
        <v>0</v>
      </c>
      <c r="AB45" s="182"/>
      <c r="AC45" s="182">
        <v>0</v>
      </c>
      <c r="AD45" s="182"/>
      <c r="AE45" s="182">
        <v>0</v>
      </c>
      <c r="AF45" s="182"/>
      <c r="AG45" s="182">
        <v>0</v>
      </c>
      <c r="AH45" s="182"/>
      <c r="AI45" s="182">
        <v>0</v>
      </c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</row>
    <row r="46" spans="1:54" ht="15.75" customHeight="1">
      <c r="A46" s="182" t="s">
        <v>120</v>
      </c>
      <c r="B46" s="182" t="s">
        <v>64</v>
      </c>
      <c r="C46" s="182" t="s">
        <v>16</v>
      </c>
      <c r="D46" s="182"/>
      <c r="E46" s="182">
        <v>0</v>
      </c>
      <c r="F46" s="182">
        <v>0</v>
      </c>
      <c r="G46" s="182">
        <v>0</v>
      </c>
      <c r="H46" s="182">
        <v>0</v>
      </c>
      <c r="I46" s="182">
        <v>96</v>
      </c>
      <c r="J46" s="182">
        <v>9</v>
      </c>
      <c r="K46" s="182">
        <v>96</v>
      </c>
      <c r="L46" s="182">
        <v>85</v>
      </c>
      <c r="M46" s="182">
        <v>0</v>
      </c>
      <c r="N46" s="182">
        <v>52</v>
      </c>
      <c r="O46" s="182">
        <v>0</v>
      </c>
      <c r="P46" s="182">
        <v>39</v>
      </c>
      <c r="Q46" s="182">
        <v>62</v>
      </c>
      <c r="R46" s="182"/>
      <c r="S46" s="182">
        <v>96</v>
      </c>
      <c r="T46" s="182"/>
      <c r="U46" s="182">
        <v>516</v>
      </c>
      <c r="V46" s="182"/>
      <c r="W46" s="182">
        <v>516</v>
      </c>
      <c r="X46" s="182"/>
      <c r="Y46" s="182">
        <v>516</v>
      </c>
      <c r="Z46" s="182"/>
      <c r="AA46" s="182">
        <v>552</v>
      </c>
      <c r="AB46" s="182"/>
      <c r="AC46" s="182">
        <v>0</v>
      </c>
      <c r="AD46" s="182"/>
      <c r="AE46" s="182">
        <v>0</v>
      </c>
      <c r="AF46" s="182"/>
      <c r="AG46" s="182">
        <v>0</v>
      </c>
      <c r="AH46" s="182"/>
      <c r="AI46" s="182">
        <v>0</v>
      </c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2"/>
      <c r="AX46" s="182"/>
      <c r="AY46" s="182"/>
      <c r="AZ46" s="182"/>
      <c r="BA46" s="182"/>
      <c r="BB46" s="182"/>
    </row>
    <row r="47" spans="1:54" ht="15.75" customHeight="1">
      <c r="A47" s="182" t="s">
        <v>120</v>
      </c>
      <c r="B47" s="182" t="s">
        <v>64</v>
      </c>
      <c r="C47" s="182" t="s">
        <v>17</v>
      </c>
      <c r="D47" s="182"/>
      <c r="E47" s="182">
        <v>0</v>
      </c>
      <c r="F47" s="182">
        <v>555</v>
      </c>
      <c r="G47" s="182">
        <v>0</v>
      </c>
      <c r="H47" s="182">
        <v>2558</v>
      </c>
      <c r="I47" s="187">
        <v>1012</v>
      </c>
      <c r="J47" s="182">
        <v>1434</v>
      </c>
      <c r="K47" s="187">
        <v>1012</v>
      </c>
      <c r="L47" s="182">
        <v>0</v>
      </c>
      <c r="M47" s="187">
        <v>1012</v>
      </c>
      <c r="N47" s="182">
        <v>213</v>
      </c>
      <c r="O47" s="182">
        <v>1012</v>
      </c>
      <c r="P47" s="182">
        <v>12</v>
      </c>
      <c r="Q47" s="182">
        <v>731</v>
      </c>
      <c r="R47" s="182"/>
      <c r="S47" s="182">
        <v>0</v>
      </c>
      <c r="T47" s="182"/>
      <c r="U47" s="182">
        <v>0</v>
      </c>
      <c r="V47" s="182"/>
      <c r="W47" s="182">
        <v>0</v>
      </c>
      <c r="X47" s="182"/>
      <c r="Y47" s="182">
        <v>0</v>
      </c>
      <c r="Z47" s="182"/>
      <c r="AA47" s="182">
        <v>0</v>
      </c>
      <c r="AB47" s="182"/>
      <c r="AC47" s="182">
        <v>0</v>
      </c>
      <c r="AD47" s="182"/>
      <c r="AE47" s="182">
        <v>0</v>
      </c>
      <c r="AF47" s="182"/>
      <c r="AG47" s="182">
        <v>0</v>
      </c>
      <c r="AH47" s="182"/>
      <c r="AI47" s="182">
        <v>0</v>
      </c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</row>
    <row r="48" spans="1:54" ht="15.75" customHeight="1">
      <c r="A48" s="182" t="s">
        <v>120</v>
      </c>
      <c r="B48" s="182" t="s">
        <v>64</v>
      </c>
      <c r="C48" s="182" t="s">
        <v>122</v>
      </c>
      <c r="D48" s="182"/>
      <c r="E48" s="182">
        <v>0</v>
      </c>
      <c r="F48" s="182" t="s">
        <v>123</v>
      </c>
      <c r="G48" s="182">
        <v>0</v>
      </c>
      <c r="H48" s="182" t="s">
        <v>123</v>
      </c>
      <c r="I48" s="182">
        <v>0</v>
      </c>
      <c r="J48" s="182" t="s">
        <v>123</v>
      </c>
      <c r="K48" s="182">
        <v>0</v>
      </c>
      <c r="L48" s="182" t="s">
        <v>123</v>
      </c>
      <c r="M48" s="182">
        <v>337</v>
      </c>
      <c r="N48" s="182" t="s">
        <v>123</v>
      </c>
      <c r="O48" s="182">
        <v>0</v>
      </c>
      <c r="P48" s="182" t="s">
        <v>123</v>
      </c>
      <c r="Q48" s="182">
        <v>0</v>
      </c>
      <c r="R48" s="182"/>
      <c r="S48" s="182">
        <v>0</v>
      </c>
      <c r="T48" s="182"/>
      <c r="U48" s="182">
        <v>0</v>
      </c>
      <c r="V48" s="182"/>
      <c r="W48" s="182">
        <v>0</v>
      </c>
      <c r="X48" s="182"/>
      <c r="Y48" s="182">
        <v>0</v>
      </c>
      <c r="Z48" s="182"/>
      <c r="AA48" s="182">
        <v>0</v>
      </c>
      <c r="AB48" s="182"/>
      <c r="AC48" s="182">
        <v>0</v>
      </c>
      <c r="AD48" s="182"/>
      <c r="AE48" s="182">
        <v>0</v>
      </c>
      <c r="AF48" s="182"/>
      <c r="AG48" s="182">
        <v>0</v>
      </c>
      <c r="AH48" s="182"/>
      <c r="AI48" s="182">
        <v>0</v>
      </c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182"/>
      <c r="BA48" s="182"/>
      <c r="BB48" s="182"/>
    </row>
    <row r="49" spans="1:54" ht="15.75" customHeight="1">
      <c r="A49" s="182" t="s">
        <v>120</v>
      </c>
      <c r="B49" s="182" t="s">
        <v>65</v>
      </c>
      <c r="C49" s="182" t="s">
        <v>121</v>
      </c>
      <c r="D49" s="182"/>
      <c r="E49" s="182">
        <v>0</v>
      </c>
      <c r="F49" s="182">
        <v>422</v>
      </c>
      <c r="G49" s="182">
        <v>0</v>
      </c>
      <c r="H49" s="182">
        <v>517</v>
      </c>
      <c r="I49" s="182">
        <v>555</v>
      </c>
      <c r="J49" s="182">
        <v>204</v>
      </c>
      <c r="K49" s="182">
        <v>185</v>
      </c>
      <c r="L49" s="182">
        <v>220</v>
      </c>
      <c r="M49" s="182">
        <v>478</v>
      </c>
      <c r="N49" s="182">
        <v>254</v>
      </c>
      <c r="O49" s="182">
        <v>1331</v>
      </c>
      <c r="P49" s="182">
        <v>374</v>
      </c>
      <c r="Q49" s="182">
        <v>962</v>
      </c>
      <c r="R49" s="182"/>
      <c r="S49" s="182">
        <v>1149</v>
      </c>
      <c r="T49" s="182"/>
      <c r="U49" s="187">
        <v>1246</v>
      </c>
      <c r="V49" s="187"/>
      <c r="W49" s="182">
        <v>721</v>
      </c>
      <c r="X49" s="182"/>
      <c r="Y49" s="182">
        <v>555</v>
      </c>
      <c r="Z49" s="182"/>
      <c r="AA49" s="182">
        <v>516</v>
      </c>
      <c r="AB49" s="182"/>
      <c r="AC49" s="182" t="s">
        <v>23</v>
      </c>
      <c r="AD49" s="182"/>
      <c r="AE49" s="182" t="s">
        <v>23</v>
      </c>
      <c r="AF49" s="182"/>
      <c r="AG49" s="182" t="s">
        <v>23</v>
      </c>
      <c r="AH49" s="182"/>
      <c r="AI49" s="182" t="s">
        <v>23</v>
      </c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</row>
    <row r="50" spans="1:54" ht="15.75" customHeight="1">
      <c r="A50" s="182" t="s">
        <v>120</v>
      </c>
      <c r="B50" s="182" t="s">
        <v>65</v>
      </c>
      <c r="C50" s="182" t="s">
        <v>28</v>
      </c>
      <c r="D50" s="182"/>
      <c r="E50" s="182">
        <v>0</v>
      </c>
      <c r="F50" s="182">
        <v>0</v>
      </c>
      <c r="G50" s="182">
        <v>0</v>
      </c>
      <c r="H50" s="182">
        <v>0</v>
      </c>
      <c r="I50" s="182">
        <v>267</v>
      </c>
      <c r="J50" s="182">
        <v>13</v>
      </c>
      <c r="K50" s="182">
        <v>0</v>
      </c>
      <c r="L50" s="182">
        <v>662</v>
      </c>
      <c r="M50" s="182">
        <v>832</v>
      </c>
      <c r="N50" s="182">
        <v>595</v>
      </c>
      <c r="O50" s="182">
        <v>832</v>
      </c>
      <c r="P50" s="182">
        <v>311</v>
      </c>
      <c r="Q50" s="182">
        <v>832</v>
      </c>
      <c r="R50" s="182"/>
      <c r="S50" s="182">
        <v>566</v>
      </c>
      <c r="T50" s="182"/>
      <c r="U50" s="182">
        <v>0</v>
      </c>
      <c r="V50" s="182"/>
      <c r="W50" s="182">
        <v>0</v>
      </c>
      <c r="X50" s="182"/>
      <c r="Y50" s="182">
        <v>0</v>
      </c>
      <c r="Z50" s="182"/>
      <c r="AA50" s="182">
        <v>0</v>
      </c>
      <c r="AB50" s="182"/>
      <c r="AC50" s="182">
        <v>0</v>
      </c>
      <c r="AD50" s="182"/>
      <c r="AE50" s="182">
        <v>0</v>
      </c>
      <c r="AF50" s="182"/>
      <c r="AG50" s="182">
        <v>0</v>
      </c>
      <c r="AH50" s="182"/>
      <c r="AI50" s="182">
        <v>0</v>
      </c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</row>
    <row r="51" spans="1:54" ht="15.75" customHeight="1">
      <c r="A51" s="182" t="s">
        <v>120</v>
      </c>
      <c r="B51" s="182" t="s">
        <v>65</v>
      </c>
      <c r="C51" s="182" t="s">
        <v>16</v>
      </c>
      <c r="D51" s="182"/>
      <c r="E51" s="182">
        <v>0</v>
      </c>
      <c r="F51" s="182">
        <v>11</v>
      </c>
      <c r="G51" s="182">
        <v>0</v>
      </c>
      <c r="H51" s="182">
        <v>0</v>
      </c>
      <c r="I51" s="182">
        <v>160</v>
      </c>
      <c r="J51" s="182">
        <v>13</v>
      </c>
      <c r="K51" s="182">
        <v>160</v>
      </c>
      <c r="L51" s="182">
        <v>662</v>
      </c>
      <c r="M51" s="182">
        <v>0</v>
      </c>
      <c r="N51" s="182">
        <v>595</v>
      </c>
      <c r="O51" s="182">
        <v>0</v>
      </c>
      <c r="P51" s="182">
        <v>311</v>
      </c>
      <c r="Q51" s="182">
        <v>107</v>
      </c>
      <c r="R51" s="182"/>
      <c r="S51" s="182">
        <v>160</v>
      </c>
      <c r="T51" s="182"/>
      <c r="U51" s="182">
        <v>321</v>
      </c>
      <c r="V51" s="182"/>
      <c r="W51" s="182">
        <v>400</v>
      </c>
      <c r="X51" s="182"/>
      <c r="Y51" s="182">
        <v>400</v>
      </c>
      <c r="Z51" s="182"/>
      <c r="AA51" s="182">
        <v>481</v>
      </c>
      <c r="AB51" s="182"/>
      <c r="AC51" s="182">
        <v>300</v>
      </c>
      <c r="AD51" s="182"/>
      <c r="AE51" s="182">
        <v>0</v>
      </c>
      <c r="AF51" s="182"/>
      <c r="AG51" s="182">
        <v>0</v>
      </c>
      <c r="AH51" s="182"/>
      <c r="AI51" s="182">
        <v>0</v>
      </c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</row>
    <row r="52" spans="1:54" ht="15.75" customHeight="1">
      <c r="A52" s="182" t="s">
        <v>120</v>
      </c>
      <c r="B52" s="182" t="s">
        <v>65</v>
      </c>
      <c r="C52" s="182" t="s">
        <v>17</v>
      </c>
      <c r="D52" s="182"/>
      <c r="E52" s="182">
        <v>0</v>
      </c>
      <c r="F52" s="182">
        <v>284</v>
      </c>
      <c r="G52" s="182">
        <v>0</v>
      </c>
      <c r="H52" s="182">
        <v>1750</v>
      </c>
      <c r="I52" s="187">
        <v>2607</v>
      </c>
      <c r="J52" s="182">
        <v>1475</v>
      </c>
      <c r="K52" s="187">
        <v>2607</v>
      </c>
      <c r="L52" s="182">
        <v>0</v>
      </c>
      <c r="M52" s="187">
        <v>2607</v>
      </c>
      <c r="N52" s="182">
        <v>1712</v>
      </c>
      <c r="O52" s="182">
        <v>2607</v>
      </c>
      <c r="P52" s="182">
        <v>2691</v>
      </c>
      <c r="Q52" s="182">
        <v>2607</v>
      </c>
      <c r="R52" s="182"/>
      <c r="S52" s="182">
        <v>2607</v>
      </c>
      <c r="T52" s="182"/>
      <c r="U52" s="182">
        <v>874</v>
      </c>
      <c r="V52" s="182"/>
      <c r="W52" s="182">
        <v>874</v>
      </c>
      <c r="X52" s="182"/>
      <c r="Y52" s="182">
        <v>874</v>
      </c>
      <c r="Z52" s="182"/>
      <c r="AA52" s="182">
        <v>877</v>
      </c>
      <c r="AB52" s="182"/>
      <c r="AC52" s="182">
        <v>0</v>
      </c>
      <c r="AD52" s="182"/>
      <c r="AE52" s="182">
        <v>0</v>
      </c>
      <c r="AF52" s="182"/>
      <c r="AG52" s="182">
        <v>0</v>
      </c>
      <c r="AH52" s="182"/>
      <c r="AI52" s="182">
        <v>0</v>
      </c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</row>
    <row r="53" spans="1:54" ht="15.75" customHeight="1">
      <c r="A53" s="182" t="s">
        <v>120</v>
      </c>
      <c r="B53" s="182" t="s">
        <v>65</v>
      </c>
      <c r="C53" s="182" t="s">
        <v>122</v>
      </c>
      <c r="D53" s="182"/>
      <c r="E53" s="182">
        <v>0</v>
      </c>
      <c r="F53" s="182" t="s">
        <v>123</v>
      </c>
      <c r="G53" s="182">
        <v>0</v>
      </c>
      <c r="H53" s="182" t="s">
        <v>123</v>
      </c>
      <c r="I53" s="182">
        <v>0</v>
      </c>
      <c r="J53" s="182" t="s">
        <v>123</v>
      </c>
      <c r="K53" s="182">
        <v>0</v>
      </c>
      <c r="L53" s="182" t="s">
        <v>123</v>
      </c>
      <c r="M53" s="182">
        <v>124</v>
      </c>
      <c r="N53" s="182" t="s">
        <v>123</v>
      </c>
      <c r="O53" s="182">
        <v>0</v>
      </c>
      <c r="P53" s="182" t="s">
        <v>123</v>
      </c>
      <c r="Q53" s="182">
        <v>0</v>
      </c>
      <c r="R53" s="182"/>
      <c r="S53" s="182">
        <v>0</v>
      </c>
      <c r="T53" s="182"/>
      <c r="U53" s="182">
        <v>0</v>
      </c>
      <c r="V53" s="182"/>
      <c r="W53" s="182">
        <v>0</v>
      </c>
      <c r="X53" s="182"/>
      <c r="Y53" s="182">
        <v>0</v>
      </c>
      <c r="Z53" s="182"/>
      <c r="AA53" s="182">
        <v>0</v>
      </c>
      <c r="AB53" s="182"/>
      <c r="AC53" s="182">
        <v>0</v>
      </c>
      <c r="AD53" s="182"/>
      <c r="AE53" s="182">
        <v>0</v>
      </c>
      <c r="AF53" s="182"/>
      <c r="AG53" s="182">
        <v>0</v>
      </c>
      <c r="AH53" s="182"/>
      <c r="AI53" s="182">
        <v>0</v>
      </c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</row>
    <row r="54" spans="1:54" ht="15.75" customHeight="1">
      <c r="A54" s="182" t="s">
        <v>124</v>
      </c>
      <c r="B54" s="182" t="s">
        <v>125</v>
      </c>
      <c r="C54" s="182" t="s">
        <v>121</v>
      </c>
      <c r="D54" s="182"/>
      <c r="E54" s="182">
        <v>800</v>
      </c>
      <c r="F54" s="182">
        <v>815</v>
      </c>
      <c r="G54" s="187">
        <v>1000</v>
      </c>
      <c r="H54" s="182">
        <v>842</v>
      </c>
      <c r="I54" s="182">
        <v>900</v>
      </c>
      <c r="J54" s="182">
        <v>1153</v>
      </c>
      <c r="K54" s="182">
        <v>700</v>
      </c>
      <c r="L54" s="182">
        <v>1405</v>
      </c>
      <c r="M54" s="187">
        <v>1100</v>
      </c>
      <c r="N54" s="182">
        <v>416</v>
      </c>
      <c r="O54" s="187">
        <v>1038</v>
      </c>
      <c r="P54" s="182">
        <v>372</v>
      </c>
      <c r="Q54" s="182">
        <v>1400</v>
      </c>
      <c r="R54" s="182"/>
      <c r="S54" s="182">
        <v>0</v>
      </c>
      <c r="T54" s="182"/>
      <c r="U54" s="187">
        <v>0</v>
      </c>
      <c r="V54" s="187"/>
      <c r="W54" s="187">
        <v>0</v>
      </c>
      <c r="X54" s="187"/>
      <c r="Y54" s="187">
        <v>0</v>
      </c>
      <c r="Z54" s="187"/>
      <c r="AA54" s="187">
        <v>0</v>
      </c>
      <c r="AB54" s="187"/>
      <c r="AC54" s="182" t="s">
        <v>23</v>
      </c>
      <c r="AD54" s="182"/>
      <c r="AE54" s="182" t="s">
        <v>23</v>
      </c>
      <c r="AF54" s="182"/>
      <c r="AG54" s="182" t="s">
        <v>23</v>
      </c>
      <c r="AH54" s="182"/>
      <c r="AI54" s="182" t="s">
        <v>23</v>
      </c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</row>
    <row r="55" spans="1:54" ht="15.75" customHeight="1">
      <c r="A55" s="182" t="s">
        <v>124</v>
      </c>
      <c r="B55" s="182" t="s">
        <v>125</v>
      </c>
      <c r="C55" s="182" t="s">
        <v>28</v>
      </c>
      <c r="D55" s="182"/>
      <c r="E55" s="182">
        <v>0</v>
      </c>
      <c r="F55" s="182">
        <v>0</v>
      </c>
      <c r="G55" s="182">
        <v>0</v>
      </c>
      <c r="H55" s="182">
        <v>0</v>
      </c>
      <c r="I55" s="187">
        <v>0</v>
      </c>
      <c r="J55" s="182">
        <v>0</v>
      </c>
      <c r="K55" s="182">
        <v>0</v>
      </c>
      <c r="L55" s="182">
        <v>0</v>
      </c>
      <c r="M55" s="187">
        <v>0</v>
      </c>
      <c r="N55" s="182">
        <v>0</v>
      </c>
      <c r="O55" s="182">
        <v>0</v>
      </c>
      <c r="P55" s="182">
        <v>0</v>
      </c>
      <c r="Q55" s="182">
        <v>4017</v>
      </c>
      <c r="R55" s="182"/>
      <c r="S55" s="182">
        <v>0</v>
      </c>
      <c r="T55" s="182"/>
      <c r="U55" s="187">
        <v>0</v>
      </c>
      <c r="V55" s="187"/>
      <c r="W55" s="187">
        <v>0</v>
      </c>
      <c r="X55" s="187"/>
      <c r="Y55" s="187">
        <v>0</v>
      </c>
      <c r="Z55" s="187"/>
      <c r="AA55" s="187">
        <v>0</v>
      </c>
      <c r="AB55" s="187"/>
      <c r="AC55" s="182">
        <v>0</v>
      </c>
      <c r="AD55" s="182"/>
      <c r="AE55" s="182">
        <v>0</v>
      </c>
      <c r="AF55" s="182"/>
      <c r="AG55" s="182">
        <v>0</v>
      </c>
      <c r="AH55" s="182"/>
      <c r="AI55" s="182">
        <v>0</v>
      </c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</row>
    <row r="56" spans="1:54" ht="15.75" customHeight="1">
      <c r="A56" s="182" t="s">
        <v>124</v>
      </c>
      <c r="B56" s="182" t="s">
        <v>125</v>
      </c>
      <c r="C56" s="182" t="s">
        <v>16</v>
      </c>
      <c r="D56" s="182"/>
      <c r="E56" s="182">
        <v>0</v>
      </c>
      <c r="F56" s="182">
        <v>0</v>
      </c>
      <c r="G56" s="182">
        <v>0</v>
      </c>
      <c r="H56" s="182">
        <v>0</v>
      </c>
      <c r="I56" s="187">
        <v>0</v>
      </c>
      <c r="J56" s="182">
        <v>0</v>
      </c>
      <c r="K56" s="182">
        <v>0</v>
      </c>
      <c r="L56" s="182">
        <v>0</v>
      </c>
      <c r="M56" s="187">
        <v>0</v>
      </c>
      <c r="N56" s="182">
        <v>10</v>
      </c>
      <c r="O56" s="182">
        <v>300</v>
      </c>
      <c r="P56" s="182">
        <v>0</v>
      </c>
      <c r="Q56" s="182">
        <v>200</v>
      </c>
      <c r="R56" s="182"/>
      <c r="S56" s="182">
        <v>200</v>
      </c>
      <c r="T56" s="182"/>
      <c r="U56" s="182">
        <v>300</v>
      </c>
      <c r="V56" s="182"/>
      <c r="W56" s="182">
        <v>300</v>
      </c>
      <c r="X56" s="182"/>
      <c r="Y56" s="182">
        <v>117</v>
      </c>
      <c r="Z56" s="182"/>
      <c r="AA56" s="187">
        <v>0</v>
      </c>
      <c r="AB56" s="187"/>
      <c r="AC56" s="182">
        <v>0</v>
      </c>
      <c r="AD56" s="182"/>
      <c r="AE56" s="182">
        <v>0</v>
      </c>
      <c r="AF56" s="182"/>
      <c r="AG56" s="182">
        <v>0</v>
      </c>
      <c r="AH56" s="182"/>
      <c r="AI56" s="182">
        <v>0</v>
      </c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</row>
    <row r="57" spans="1:54" ht="15.75" customHeight="1">
      <c r="A57" s="182" t="s">
        <v>124</v>
      </c>
      <c r="B57" s="182" t="s">
        <v>125</v>
      </c>
      <c r="C57" s="182" t="s">
        <v>17</v>
      </c>
      <c r="D57" s="182"/>
      <c r="E57" s="182">
        <v>0</v>
      </c>
      <c r="F57" s="182">
        <v>4</v>
      </c>
      <c r="G57" s="182">
        <v>0</v>
      </c>
      <c r="H57" s="182">
        <v>1174</v>
      </c>
      <c r="I57" s="187">
        <v>0</v>
      </c>
      <c r="J57" s="182">
        <v>3655</v>
      </c>
      <c r="K57" s="187">
        <v>2200</v>
      </c>
      <c r="L57" s="182">
        <v>19</v>
      </c>
      <c r="M57" s="187">
        <v>3338</v>
      </c>
      <c r="N57" s="182">
        <v>4273</v>
      </c>
      <c r="O57" s="187">
        <v>3338</v>
      </c>
      <c r="P57" s="182">
        <v>2586</v>
      </c>
      <c r="Q57" s="182">
        <v>3338</v>
      </c>
      <c r="R57" s="182"/>
      <c r="S57" s="187">
        <v>3340</v>
      </c>
      <c r="T57" s="182"/>
      <c r="U57" s="187">
        <v>0</v>
      </c>
      <c r="V57" s="187"/>
      <c r="W57" s="187">
        <v>0</v>
      </c>
      <c r="X57" s="187"/>
      <c r="Y57" s="187">
        <v>0</v>
      </c>
      <c r="Z57" s="187"/>
      <c r="AA57" s="187">
        <v>0</v>
      </c>
      <c r="AB57" s="187"/>
      <c r="AC57" s="182">
        <v>0</v>
      </c>
      <c r="AD57" s="182"/>
      <c r="AE57" s="182">
        <v>0</v>
      </c>
      <c r="AF57" s="182"/>
      <c r="AG57" s="182">
        <v>0</v>
      </c>
      <c r="AH57" s="182"/>
      <c r="AI57" s="182">
        <v>0</v>
      </c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</row>
    <row r="58" spans="1:54" ht="15.75" customHeight="1">
      <c r="A58" s="182" t="s">
        <v>124</v>
      </c>
      <c r="B58" s="182" t="s">
        <v>125</v>
      </c>
      <c r="C58" s="182" t="s">
        <v>122</v>
      </c>
      <c r="D58" s="182"/>
      <c r="E58" s="182">
        <v>0</v>
      </c>
      <c r="F58" s="182" t="s">
        <v>123</v>
      </c>
      <c r="G58" s="182">
        <v>0</v>
      </c>
      <c r="H58" s="182" t="s">
        <v>123</v>
      </c>
      <c r="I58" s="187">
        <v>0</v>
      </c>
      <c r="J58" s="182" t="s">
        <v>123</v>
      </c>
      <c r="K58" s="182">
        <v>700</v>
      </c>
      <c r="L58" s="182" t="s">
        <v>123</v>
      </c>
      <c r="M58" s="187">
        <v>2418</v>
      </c>
      <c r="N58" s="182" t="s">
        <v>123</v>
      </c>
      <c r="O58" s="182">
        <v>0</v>
      </c>
      <c r="P58" s="182" t="s">
        <v>123</v>
      </c>
      <c r="Q58" s="182">
        <v>0</v>
      </c>
      <c r="R58" s="182"/>
      <c r="S58" s="182">
        <v>0</v>
      </c>
      <c r="T58" s="182"/>
      <c r="U58" s="187">
        <v>0</v>
      </c>
      <c r="V58" s="187"/>
      <c r="W58" s="187">
        <v>0</v>
      </c>
      <c r="X58" s="187"/>
      <c r="Y58" s="187">
        <v>0</v>
      </c>
      <c r="Z58" s="187"/>
      <c r="AA58" s="187">
        <v>0</v>
      </c>
      <c r="AB58" s="187"/>
      <c r="AC58" s="182">
        <v>0</v>
      </c>
      <c r="AD58" s="182"/>
      <c r="AE58" s="182">
        <v>0</v>
      </c>
      <c r="AF58" s="182"/>
      <c r="AG58" s="182">
        <v>0</v>
      </c>
      <c r="AH58" s="182"/>
      <c r="AI58" s="182">
        <v>0</v>
      </c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</row>
    <row r="59" spans="1:54" ht="15.75" customHeight="1">
      <c r="A59" s="182" t="s">
        <v>124</v>
      </c>
      <c r="B59" s="182" t="s">
        <v>126</v>
      </c>
      <c r="C59" s="182" t="s">
        <v>121</v>
      </c>
      <c r="D59" s="182"/>
      <c r="E59" s="182">
        <v>0</v>
      </c>
      <c r="F59" s="182">
        <v>478</v>
      </c>
      <c r="G59" s="182">
        <v>0</v>
      </c>
      <c r="H59" s="182">
        <v>592</v>
      </c>
      <c r="I59" s="187">
        <v>0</v>
      </c>
      <c r="J59" s="182">
        <v>473</v>
      </c>
      <c r="K59" s="182">
        <v>250</v>
      </c>
      <c r="L59" s="182">
        <v>393</v>
      </c>
      <c r="M59" s="182">
        <v>4309</v>
      </c>
      <c r="N59" s="182">
        <v>157</v>
      </c>
      <c r="O59" s="182">
        <v>5122</v>
      </c>
      <c r="P59" s="182">
        <v>145</v>
      </c>
      <c r="Q59" s="182">
        <v>4879</v>
      </c>
      <c r="R59" s="182"/>
      <c r="S59" s="182">
        <v>4122</v>
      </c>
      <c r="T59" s="182"/>
      <c r="U59" s="182">
        <v>1500</v>
      </c>
      <c r="V59" s="182"/>
      <c r="W59" s="187">
        <v>0</v>
      </c>
      <c r="X59" s="187"/>
      <c r="Y59" s="187">
        <v>0</v>
      </c>
      <c r="Z59" s="187"/>
      <c r="AA59" s="187">
        <v>0</v>
      </c>
      <c r="AB59" s="187"/>
      <c r="AC59" s="182">
        <v>0</v>
      </c>
      <c r="AD59" s="182"/>
      <c r="AE59" s="182">
        <v>0</v>
      </c>
      <c r="AF59" s="182"/>
      <c r="AG59" s="182">
        <v>0</v>
      </c>
      <c r="AH59" s="182"/>
      <c r="AI59" s="182">
        <v>0</v>
      </c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</row>
    <row r="60" spans="1:54" ht="15.75" customHeight="1">
      <c r="A60" s="182" t="s">
        <v>124</v>
      </c>
      <c r="B60" s="182" t="s">
        <v>126</v>
      </c>
      <c r="C60" s="182" t="s">
        <v>28</v>
      </c>
      <c r="D60" s="182"/>
      <c r="E60" s="182">
        <v>0</v>
      </c>
      <c r="F60" s="182">
        <v>0</v>
      </c>
      <c r="G60" s="182">
        <v>0</v>
      </c>
      <c r="H60" s="182">
        <v>0</v>
      </c>
      <c r="I60" s="187">
        <v>0</v>
      </c>
      <c r="J60" s="182">
        <v>0</v>
      </c>
      <c r="K60" s="182">
        <v>0</v>
      </c>
      <c r="L60" s="182">
        <v>0</v>
      </c>
      <c r="M60" s="187">
        <v>0</v>
      </c>
      <c r="N60" s="182">
        <v>0</v>
      </c>
      <c r="O60" s="182">
        <v>1300</v>
      </c>
      <c r="P60" s="182">
        <v>0</v>
      </c>
      <c r="Q60" s="182">
        <v>1950</v>
      </c>
      <c r="R60" s="182"/>
      <c r="S60" s="182">
        <v>650</v>
      </c>
      <c r="T60" s="182"/>
      <c r="U60" s="187">
        <v>0</v>
      </c>
      <c r="V60" s="187"/>
      <c r="W60" s="187">
        <v>0</v>
      </c>
      <c r="X60" s="187"/>
      <c r="Y60" s="187">
        <v>0</v>
      </c>
      <c r="Z60" s="187"/>
      <c r="AA60" s="187">
        <v>0</v>
      </c>
      <c r="AB60" s="187"/>
      <c r="AC60" s="182">
        <v>0</v>
      </c>
      <c r="AD60" s="182"/>
      <c r="AE60" s="182">
        <v>0</v>
      </c>
      <c r="AF60" s="182"/>
      <c r="AG60" s="182">
        <v>0</v>
      </c>
      <c r="AH60" s="182"/>
      <c r="AI60" s="182">
        <v>0</v>
      </c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</row>
    <row r="61" spans="1:54" ht="15.75" customHeight="1">
      <c r="A61" s="182" t="s">
        <v>124</v>
      </c>
      <c r="B61" s="182" t="s">
        <v>126</v>
      </c>
      <c r="C61" s="182" t="s">
        <v>16</v>
      </c>
      <c r="D61" s="182"/>
      <c r="E61" s="182">
        <v>0</v>
      </c>
      <c r="F61" s="182">
        <v>0</v>
      </c>
      <c r="G61" s="182">
        <v>0</v>
      </c>
      <c r="H61" s="182">
        <v>0</v>
      </c>
      <c r="I61" s="182">
        <v>110</v>
      </c>
      <c r="J61" s="182">
        <v>0</v>
      </c>
      <c r="K61" s="182">
        <v>0</v>
      </c>
      <c r="L61" s="182">
        <v>0</v>
      </c>
      <c r="M61" s="182">
        <v>550</v>
      </c>
      <c r="N61" s="182">
        <v>18</v>
      </c>
      <c r="O61" s="182">
        <v>275</v>
      </c>
      <c r="P61" s="182">
        <v>11</v>
      </c>
      <c r="Q61" s="182">
        <v>200</v>
      </c>
      <c r="R61" s="182"/>
      <c r="S61" s="182">
        <v>140</v>
      </c>
      <c r="T61" s="182"/>
      <c r="U61" s="187">
        <v>0</v>
      </c>
      <c r="V61" s="187"/>
      <c r="W61" s="187">
        <v>0</v>
      </c>
      <c r="X61" s="187"/>
      <c r="Y61" s="187">
        <v>0</v>
      </c>
      <c r="Z61" s="187"/>
      <c r="AA61" s="187">
        <v>0</v>
      </c>
      <c r="AB61" s="187"/>
      <c r="AC61" s="182">
        <v>0</v>
      </c>
      <c r="AD61" s="182"/>
      <c r="AE61" s="182">
        <v>0</v>
      </c>
      <c r="AF61" s="182"/>
      <c r="AG61" s="182">
        <v>0</v>
      </c>
      <c r="AH61" s="182"/>
      <c r="AI61" s="182">
        <v>0</v>
      </c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</row>
    <row r="62" spans="1:54" ht="15.75" customHeight="1">
      <c r="A62" s="182" t="s">
        <v>124</v>
      </c>
      <c r="B62" s="182" t="s">
        <v>126</v>
      </c>
      <c r="C62" s="182" t="s">
        <v>17</v>
      </c>
      <c r="D62" s="182"/>
      <c r="E62" s="182">
        <v>0</v>
      </c>
      <c r="F62" s="182">
        <v>258</v>
      </c>
      <c r="G62" s="182">
        <v>0</v>
      </c>
      <c r="H62" s="182">
        <v>2361</v>
      </c>
      <c r="I62" s="182">
        <v>650</v>
      </c>
      <c r="J62" s="182">
        <v>8000</v>
      </c>
      <c r="K62" s="182">
        <v>0</v>
      </c>
      <c r="L62" s="182">
        <v>140</v>
      </c>
      <c r="M62" s="182">
        <v>2425</v>
      </c>
      <c r="N62" s="182">
        <v>3147</v>
      </c>
      <c r="O62" s="182">
        <v>2650</v>
      </c>
      <c r="P62" s="182">
        <v>2051</v>
      </c>
      <c r="Q62" s="182">
        <v>2425</v>
      </c>
      <c r="R62" s="182"/>
      <c r="S62" s="182">
        <v>2650</v>
      </c>
      <c r="T62" s="182"/>
      <c r="U62" s="182">
        <v>1483</v>
      </c>
      <c r="V62" s="182"/>
      <c r="W62" s="182">
        <v>1483</v>
      </c>
      <c r="X62" s="182"/>
      <c r="Y62" s="187">
        <v>0</v>
      </c>
      <c r="Z62" s="187"/>
      <c r="AA62" s="187">
        <v>0</v>
      </c>
      <c r="AB62" s="187"/>
      <c r="AC62" s="182">
        <v>0</v>
      </c>
      <c r="AD62" s="182"/>
      <c r="AE62" s="182">
        <v>0</v>
      </c>
      <c r="AF62" s="182"/>
      <c r="AG62" s="182">
        <v>0</v>
      </c>
      <c r="AH62" s="182"/>
      <c r="AI62" s="182">
        <v>0</v>
      </c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</row>
    <row r="63" spans="1:54" ht="15.75" customHeight="1">
      <c r="A63" s="182" t="s">
        <v>124</v>
      </c>
      <c r="B63" s="182" t="s">
        <v>126</v>
      </c>
      <c r="C63" s="182" t="s">
        <v>122</v>
      </c>
      <c r="D63" s="182"/>
      <c r="E63" s="182">
        <v>0</v>
      </c>
      <c r="F63" s="182" t="s">
        <v>123</v>
      </c>
      <c r="G63" s="182">
        <v>0</v>
      </c>
      <c r="H63" s="182" t="s">
        <v>123</v>
      </c>
      <c r="I63" s="182">
        <v>200</v>
      </c>
      <c r="J63" s="182" t="s">
        <v>123</v>
      </c>
      <c r="K63" s="182">
        <v>260</v>
      </c>
      <c r="L63" s="182" t="s">
        <v>123</v>
      </c>
      <c r="M63" s="182">
        <v>0</v>
      </c>
      <c r="N63" s="182" t="s">
        <v>123</v>
      </c>
      <c r="O63" s="182">
        <v>0</v>
      </c>
      <c r="P63" s="182" t="s">
        <v>123</v>
      </c>
      <c r="Q63" s="182">
        <v>0</v>
      </c>
      <c r="R63" s="182"/>
      <c r="S63" s="182">
        <v>0</v>
      </c>
      <c r="T63" s="182"/>
      <c r="U63" s="187">
        <v>0</v>
      </c>
      <c r="V63" s="187"/>
      <c r="W63" s="187">
        <v>0</v>
      </c>
      <c r="X63" s="187"/>
      <c r="Y63" s="187">
        <v>0</v>
      </c>
      <c r="Z63" s="187"/>
      <c r="AA63" s="187">
        <v>0</v>
      </c>
      <c r="AB63" s="187"/>
      <c r="AC63" s="182">
        <v>0</v>
      </c>
      <c r="AD63" s="182"/>
      <c r="AE63" s="182">
        <v>0</v>
      </c>
      <c r="AF63" s="182"/>
      <c r="AG63" s="182">
        <v>0</v>
      </c>
      <c r="AH63" s="182"/>
      <c r="AI63" s="182">
        <v>0</v>
      </c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</row>
    <row r="64" spans="1:54" ht="15.75" customHeight="1">
      <c r="A64" s="182" t="s">
        <v>124</v>
      </c>
      <c r="B64" s="182" t="s">
        <v>127</v>
      </c>
      <c r="C64" s="182" t="s">
        <v>121</v>
      </c>
      <c r="D64" s="182"/>
      <c r="E64" s="182">
        <v>200</v>
      </c>
      <c r="F64" s="182">
        <v>322</v>
      </c>
      <c r="G64" s="182">
        <v>250</v>
      </c>
      <c r="H64" s="182">
        <v>635</v>
      </c>
      <c r="I64" s="182">
        <v>150</v>
      </c>
      <c r="J64" s="182">
        <v>360</v>
      </c>
      <c r="K64" s="182">
        <v>0</v>
      </c>
      <c r="L64" s="182">
        <v>210</v>
      </c>
      <c r="M64" s="182">
        <v>200</v>
      </c>
      <c r="N64" s="182">
        <v>285</v>
      </c>
      <c r="O64" s="182">
        <v>200</v>
      </c>
      <c r="P64" s="182">
        <v>347</v>
      </c>
      <c r="Q64" s="182">
        <v>200</v>
      </c>
      <c r="R64" s="182"/>
      <c r="S64" s="182">
        <v>200</v>
      </c>
      <c r="T64" s="182"/>
      <c r="U64" s="182">
        <v>200</v>
      </c>
      <c r="V64" s="182"/>
      <c r="W64" s="182">
        <v>200</v>
      </c>
      <c r="X64" s="182"/>
      <c r="Y64" s="182">
        <v>171</v>
      </c>
      <c r="Z64" s="182"/>
      <c r="AA64" s="182">
        <v>200</v>
      </c>
      <c r="AB64" s="182"/>
      <c r="AC64" s="182">
        <v>0</v>
      </c>
      <c r="AD64" s="182"/>
      <c r="AE64" s="182">
        <v>0</v>
      </c>
      <c r="AF64" s="182"/>
      <c r="AG64" s="182">
        <v>0</v>
      </c>
      <c r="AH64" s="182"/>
      <c r="AI64" s="182">
        <v>0</v>
      </c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</row>
    <row r="65" spans="1:54" ht="15.75" customHeight="1">
      <c r="A65" s="182" t="s">
        <v>124</v>
      </c>
      <c r="B65" s="182" t="s">
        <v>127</v>
      </c>
      <c r="C65" s="182" t="s">
        <v>28</v>
      </c>
      <c r="D65" s="182"/>
      <c r="E65" s="182">
        <v>0</v>
      </c>
      <c r="F65" s="182">
        <v>0</v>
      </c>
      <c r="G65" s="182">
        <v>0</v>
      </c>
      <c r="H65" s="182">
        <v>0</v>
      </c>
      <c r="I65" s="182">
        <v>0</v>
      </c>
      <c r="J65" s="182">
        <v>0</v>
      </c>
      <c r="K65" s="182">
        <v>0</v>
      </c>
      <c r="L65" s="182">
        <v>909</v>
      </c>
      <c r="M65" s="182">
        <v>0</v>
      </c>
      <c r="N65" s="182">
        <v>531</v>
      </c>
      <c r="O65" s="182">
        <v>260</v>
      </c>
      <c r="P65" s="182">
        <v>493</v>
      </c>
      <c r="Q65" s="182">
        <v>260</v>
      </c>
      <c r="R65" s="182"/>
      <c r="S65" s="182">
        <v>520</v>
      </c>
      <c r="T65" s="182"/>
      <c r="U65" s="182">
        <v>520</v>
      </c>
      <c r="V65" s="182"/>
      <c r="W65" s="182">
        <v>260</v>
      </c>
      <c r="X65" s="182"/>
      <c r="Y65" s="182">
        <v>260</v>
      </c>
      <c r="Z65" s="182"/>
      <c r="AA65" s="182">
        <v>260</v>
      </c>
      <c r="AB65" s="182"/>
      <c r="AC65" s="182">
        <v>0</v>
      </c>
      <c r="AD65" s="182"/>
      <c r="AE65" s="182">
        <v>0</v>
      </c>
      <c r="AF65" s="182"/>
      <c r="AG65" s="182">
        <v>0</v>
      </c>
      <c r="AH65" s="182"/>
      <c r="AI65" s="182">
        <v>0</v>
      </c>
      <c r="AJ65" s="182"/>
      <c r="AK65" s="182"/>
      <c r="AL65" s="182"/>
      <c r="AM65" s="182"/>
      <c r="AN65" s="182"/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</row>
    <row r="66" spans="1:54" ht="15.75" customHeight="1">
      <c r="A66" s="182" t="s">
        <v>124</v>
      </c>
      <c r="B66" s="182" t="s">
        <v>127</v>
      </c>
      <c r="C66" s="182" t="s">
        <v>16</v>
      </c>
      <c r="D66" s="182"/>
      <c r="E66" s="182">
        <v>0</v>
      </c>
      <c r="F66" s="182">
        <v>0</v>
      </c>
      <c r="G66" s="182">
        <v>200</v>
      </c>
      <c r="H66" s="182">
        <v>0</v>
      </c>
      <c r="I66" s="182">
        <v>200</v>
      </c>
      <c r="J66" s="182">
        <v>0</v>
      </c>
      <c r="K66" s="182">
        <v>200</v>
      </c>
      <c r="L66" s="182">
        <v>909</v>
      </c>
      <c r="M66" s="182">
        <v>200</v>
      </c>
      <c r="N66" s="182">
        <v>531</v>
      </c>
      <c r="O66" s="182">
        <v>200</v>
      </c>
      <c r="P66" s="182">
        <v>493</v>
      </c>
      <c r="Q66" s="182">
        <v>200</v>
      </c>
      <c r="R66" s="182"/>
      <c r="S66" s="182">
        <v>200</v>
      </c>
      <c r="T66" s="182"/>
      <c r="U66" s="182">
        <v>200</v>
      </c>
      <c r="V66" s="182"/>
      <c r="W66" s="182">
        <v>137</v>
      </c>
      <c r="X66" s="182"/>
      <c r="Y66" s="187">
        <v>0</v>
      </c>
      <c r="Z66" s="187"/>
      <c r="AA66" s="187">
        <v>0</v>
      </c>
      <c r="AB66" s="187"/>
      <c r="AC66" s="182">
        <v>0</v>
      </c>
      <c r="AD66" s="182"/>
      <c r="AE66" s="182">
        <v>0</v>
      </c>
      <c r="AF66" s="182"/>
      <c r="AG66" s="182">
        <v>0</v>
      </c>
      <c r="AH66" s="182"/>
      <c r="AI66" s="182">
        <v>0</v>
      </c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</row>
    <row r="67" spans="1:54" ht="15.75" customHeight="1">
      <c r="A67" s="182" t="s">
        <v>124</v>
      </c>
      <c r="B67" s="182" t="s">
        <v>127</v>
      </c>
      <c r="C67" s="182" t="s">
        <v>17</v>
      </c>
      <c r="D67" s="182"/>
      <c r="E67" s="182">
        <v>802</v>
      </c>
      <c r="F67" s="182">
        <v>1185</v>
      </c>
      <c r="G67" s="182">
        <v>2138</v>
      </c>
      <c r="H67" s="182">
        <v>2273</v>
      </c>
      <c r="I67" s="182">
        <v>1918</v>
      </c>
      <c r="J67" s="182">
        <v>1845</v>
      </c>
      <c r="K67" s="182">
        <v>0</v>
      </c>
      <c r="L67" s="182">
        <v>0</v>
      </c>
      <c r="M67" s="182">
        <v>2255</v>
      </c>
      <c r="N67" s="182">
        <v>2709</v>
      </c>
      <c r="O67" s="182">
        <v>2255</v>
      </c>
      <c r="P67" s="182">
        <v>3665</v>
      </c>
      <c r="Q67" s="182">
        <v>2255</v>
      </c>
      <c r="R67" s="182"/>
      <c r="S67" s="182">
        <v>2255</v>
      </c>
      <c r="T67" s="182"/>
      <c r="U67" s="182">
        <v>2255</v>
      </c>
      <c r="V67" s="182"/>
      <c r="W67" s="182">
        <v>1893</v>
      </c>
      <c r="X67" s="182"/>
      <c r="Y67" s="187">
        <v>0</v>
      </c>
      <c r="Z67" s="187"/>
      <c r="AA67" s="187">
        <v>0</v>
      </c>
      <c r="AB67" s="187"/>
      <c r="AC67" s="182">
        <v>0</v>
      </c>
      <c r="AD67" s="182"/>
      <c r="AE67" s="182">
        <v>0</v>
      </c>
      <c r="AF67" s="182"/>
      <c r="AG67" s="182">
        <v>0</v>
      </c>
      <c r="AH67" s="182"/>
      <c r="AI67" s="182">
        <v>0</v>
      </c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</row>
    <row r="68" spans="1:54" ht="15.75" customHeight="1">
      <c r="A68" s="182" t="s">
        <v>124</v>
      </c>
      <c r="B68" s="182" t="s">
        <v>127</v>
      </c>
      <c r="C68" s="182" t="s">
        <v>122</v>
      </c>
      <c r="D68" s="182"/>
      <c r="E68" s="182">
        <v>0</v>
      </c>
      <c r="F68" s="182" t="s">
        <v>123</v>
      </c>
      <c r="G68" s="182">
        <v>0</v>
      </c>
      <c r="H68" s="182" t="s">
        <v>123</v>
      </c>
      <c r="I68" s="182">
        <v>0</v>
      </c>
      <c r="J68" s="182" t="s">
        <v>123</v>
      </c>
      <c r="K68" s="182">
        <v>1000</v>
      </c>
      <c r="L68" s="182" t="s">
        <v>123</v>
      </c>
      <c r="M68" s="182">
        <v>553</v>
      </c>
      <c r="N68" s="182" t="s">
        <v>123</v>
      </c>
      <c r="O68" s="182">
        <v>0</v>
      </c>
      <c r="P68" s="182" t="s">
        <v>123</v>
      </c>
      <c r="Q68" s="182">
        <v>0</v>
      </c>
      <c r="R68" s="182"/>
      <c r="S68" s="182">
        <v>0</v>
      </c>
      <c r="T68" s="182"/>
      <c r="U68" s="182">
        <v>0</v>
      </c>
      <c r="V68" s="182"/>
      <c r="W68" s="182">
        <v>900</v>
      </c>
      <c r="X68" s="182"/>
      <c r="Y68" s="187">
        <v>0</v>
      </c>
      <c r="Z68" s="187"/>
      <c r="AA68" s="187">
        <v>0</v>
      </c>
      <c r="AB68" s="187"/>
      <c r="AC68" s="182">
        <v>0</v>
      </c>
      <c r="AD68" s="182"/>
      <c r="AE68" s="182">
        <v>0</v>
      </c>
      <c r="AF68" s="182"/>
      <c r="AG68" s="182">
        <v>0</v>
      </c>
      <c r="AH68" s="182"/>
      <c r="AI68" s="182">
        <v>0</v>
      </c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</row>
    <row r="69" spans="1:54" ht="15.75" customHeight="1">
      <c r="A69" s="182" t="s">
        <v>124</v>
      </c>
      <c r="B69" s="182" t="s">
        <v>128</v>
      </c>
      <c r="C69" s="182" t="s">
        <v>121</v>
      </c>
      <c r="D69" s="182"/>
      <c r="E69" s="182">
        <v>0</v>
      </c>
      <c r="F69" s="182">
        <v>585</v>
      </c>
      <c r="G69" s="182">
        <v>0</v>
      </c>
      <c r="H69" s="182">
        <v>476</v>
      </c>
      <c r="I69" s="182">
        <v>1350</v>
      </c>
      <c r="J69" s="182">
        <v>245</v>
      </c>
      <c r="K69" s="182">
        <v>1400</v>
      </c>
      <c r="L69" s="182">
        <v>349</v>
      </c>
      <c r="M69" s="182">
        <v>1300</v>
      </c>
      <c r="N69" s="182">
        <v>261</v>
      </c>
      <c r="O69" s="182">
        <v>1350</v>
      </c>
      <c r="P69" s="182">
        <v>252</v>
      </c>
      <c r="Q69" s="182">
        <v>1350</v>
      </c>
      <c r="R69" s="182"/>
      <c r="S69" s="182">
        <v>1370</v>
      </c>
      <c r="T69" s="182"/>
      <c r="U69" s="182">
        <v>2650</v>
      </c>
      <c r="V69" s="182"/>
      <c r="W69" s="182">
        <v>2550</v>
      </c>
      <c r="X69" s="182"/>
      <c r="Y69" s="182">
        <v>2020</v>
      </c>
      <c r="Z69" s="182"/>
      <c r="AA69" s="182">
        <v>1250</v>
      </c>
      <c r="AB69" s="182"/>
      <c r="AC69" s="182">
        <v>0</v>
      </c>
      <c r="AD69" s="182"/>
      <c r="AE69" s="182">
        <v>0</v>
      </c>
      <c r="AF69" s="182"/>
      <c r="AG69" s="182">
        <v>0</v>
      </c>
      <c r="AH69" s="182"/>
      <c r="AI69" s="182">
        <v>0</v>
      </c>
      <c r="AJ69" s="182"/>
      <c r="AK69" s="182"/>
      <c r="AL69" s="182"/>
      <c r="AM69" s="182"/>
      <c r="AN69" s="182"/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182"/>
      <c r="BA69" s="182"/>
      <c r="BB69" s="182"/>
    </row>
    <row r="70" spans="1:54" ht="15.75" customHeight="1">
      <c r="A70" s="182" t="s">
        <v>124</v>
      </c>
      <c r="B70" s="182" t="s">
        <v>128</v>
      </c>
      <c r="C70" s="182" t="s">
        <v>28</v>
      </c>
      <c r="D70" s="182"/>
      <c r="E70" s="182">
        <v>0</v>
      </c>
      <c r="F70" s="182">
        <v>0</v>
      </c>
      <c r="G70" s="182">
        <v>0</v>
      </c>
      <c r="H70" s="182">
        <v>0</v>
      </c>
      <c r="I70" s="182">
        <v>0</v>
      </c>
      <c r="J70" s="182">
        <v>0</v>
      </c>
      <c r="K70" s="182">
        <v>0</v>
      </c>
      <c r="L70" s="182">
        <v>0</v>
      </c>
      <c r="M70" s="182">
        <v>510</v>
      </c>
      <c r="N70" s="182">
        <v>0</v>
      </c>
      <c r="O70" s="182">
        <v>500</v>
      </c>
      <c r="P70" s="182">
        <v>39</v>
      </c>
      <c r="Q70" s="182">
        <v>500</v>
      </c>
      <c r="R70" s="182"/>
      <c r="S70" s="182">
        <v>520</v>
      </c>
      <c r="T70" s="182"/>
      <c r="U70" s="182">
        <v>510</v>
      </c>
      <c r="V70" s="182"/>
      <c r="W70" s="182">
        <v>510</v>
      </c>
      <c r="X70" s="182"/>
      <c r="Y70" s="182">
        <v>500</v>
      </c>
      <c r="Z70" s="182"/>
      <c r="AA70" s="182">
        <v>506</v>
      </c>
      <c r="AB70" s="182"/>
      <c r="AC70" s="182">
        <v>0</v>
      </c>
      <c r="AD70" s="182"/>
      <c r="AE70" s="182">
        <v>0</v>
      </c>
      <c r="AF70" s="182"/>
      <c r="AG70" s="182">
        <v>0</v>
      </c>
      <c r="AH70" s="182"/>
      <c r="AI70" s="182">
        <v>0</v>
      </c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2"/>
    </row>
    <row r="71" spans="1:54" ht="15.75" customHeight="1">
      <c r="A71" s="182" t="s">
        <v>124</v>
      </c>
      <c r="B71" s="182" t="s">
        <v>128</v>
      </c>
      <c r="C71" s="182" t="s">
        <v>16</v>
      </c>
      <c r="D71" s="182"/>
      <c r="E71" s="182">
        <v>0</v>
      </c>
      <c r="F71" s="182">
        <v>0</v>
      </c>
      <c r="G71" s="182">
        <v>0</v>
      </c>
      <c r="H71" s="182">
        <v>20</v>
      </c>
      <c r="I71" s="182">
        <v>0</v>
      </c>
      <c r="J71" s="182">
        <v>0</v>
      </c>
      <c r="K71" s="182">
        <v>240</v>
      </c>
      <c r="L71" s="182">
        <v>12</v>
      </c>
      <c r="M71" s="182">
        <v>120</v>
      </c>
      <c r="N71" s="182">
        <v>9</v>
      </c>
      <c r="O71" s="182">
        <v>120</v>
      </c>
      <c r="P71" s="182">
        <v>77</v>
      </c>
      <c r="Q71" s="182">
        <v>120</v>
      </c>
      <c r="R71" s="182"/>
      <c r="S71" s="182">
        <v>480</v>
      </c>
      <c r="T71" s="182"/>
      <c r="U71" s="182">
        <v>120</v>
      </c>
      <c r="V71" s="182"/>
      <c r="W71" s="182">
        <v>120</v>
      </c>
      <c r="X71" s="182"/>
      <c r="Y71" s="182">
        <v>178</v>
      </c>
      <c r="Z71" s="182"/>
      <c r="AA71" s="187">
        <v>0</v>
      </c>
      <c r="AB71" s="187"/>
      <c r="AC71" s="182">
        <v>0</v>
      </c>
      <c r="AD71" s="182"/>
      <c r="AE71" s="182">
        <v>0</v>
      </c>
      <c r="AF71" s="182"/>
      <c r="AG71" s="182">
        <v>0</v>
      </c>
      <c r="AH71" s="182"/>
      <c r="AI71" s="182">
        <v>0</v>
      </c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</row>
    <row r="72" spans="1:54" ht="15.75" customHeight="1">
      <c r="A72" s="182" t="s">
        <v>124</v>
      </c>
      <c r="B72" s="182" t="s">
        <v>128</v>
      </c>
      <c r="C72" s="182" t="s">
        <v>17</v>
      </c>
      <c r="D72" s="182"/>
      <c r="E72" s="182">
        <v>5100</v>
      </c>
      <c r="F72" s="182">
        <v>3651</v>
      </c>
      <c r="G72" s="182">
        <v>0</v>
      </c>
      <c r="H72" s="182">
        <v>4628</v>
      </c>
      <c r="I72" s="182">
        <v>0</v>
      </c>
      <c r="J72" s="182">
        <v>2566</v>
      </c>
      <c r="K72" s="182">
        <v>1400</v>
      </c>
      <c r="L72" s="182">
        <v>0</v>
      </c>
      <c r="M72" s="182">
        <v>1000</v>
      </c>
      <c r="N72" s="182">
        <v>1178</v>
      </c>
      <c r="O72" s="182">
        <v>1000</v>
      </c>
      <c r="P72" s="182">
        <v>935</v>
      </c>
      <c r="Q72" s="182">
        <v>700</v>
      </c>
      <c r="R72" s="182"/>
      <c r="S72" s="182">
        <v>500</v>
      </c>
      <c r="T72" s="182"/>
      <c r="U72" s="182">
        <v>500</v>
      </c>
      <c r="V72" s="182"/>
      <c r="W72" s="182">
        <v>38</v>
      </c>
      <c r="X72" s="182"/>
      <c r="Y72" s="182">
        <v>0</v>
      </c>
      <c r="Z72" s="182"/>
      <c r="AA72" s="187">
        <v>0</v>
      </c>
      <c r="AB72" s="187"/>
      <c r="AC72" s="182">
        <v>0</v>
      </c>
      <c r="AD72" s="182"/>
      <c r="AE72" s="182">
        <v>0</v>
      </c>
      <c r="AF72" s="182"/>
      <c r="AG72" s="182">
        <v>0</v>
      </c>
      <c r="AH72" s="182"/>
      <c r="AI72" s="182">
        <v>0</v>
      </c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2"/>
    </row>
    <row r="73" spans="1:54" ht="15.75" customHeight="1">
      <c r="A73" s="182" t="s">
        <v>124</v>
      </c>
      <c r="B73" s="182" t="s">
        <v>128</v>
      </c>
      <c r="C73" s="182" t="s">
        <v>122</v>
      </c>
      <c r="D73" s="182"/>
      <c r="E73" s="182">
        <v>0</v>
      </c>
      <c r="F73" s="182" t="s">
        <v>123</v>
      </c>
      <c r="G73" s="182">
        <v>0</v>
      </c>
      <c r="H73" s="182" t="s">
        <v>123</v>
      </c>
      <c r="I73" s="182">
        <v>0</v>
      </c>
      <c r="J73" s="182" t="s">
        <v>123</v>
      </c>
      <c r="K73" s="182">
        <v>1000</v>
      </c>
      <c r="L73" s="182" t="s">
        <v>123</v>
      </c>
      <c r="M73" s="182">
        <v>764</v>
      </c>
      <c r="N73" s="182" t="s">
        <v>123</v>
      </c>
      <c r="O73" s="182">
        <v>0</v>
      </c>
      <c r="P73" s="182" t="s">
        <v>123</v>
      </c>
      <c r="Q73" s="182">
        <v>0</v>
      </c>
      <c r="R73" s="182"/>
      <c r="S73" s="182">
        <v>0</v>
      </c>
      <c r="T73" s="182"/>
      <c r="U73" s="182">
        <v>0</v>
      </c>
      <c r="V73" s="182"/>
      <c r="W73" s="182">
        <v>0</v>
      </c>
      <c r="X73" s="182"/>
      <c r="Y73" s="182">
        <v>0</v>
      </c>
      <c r="Z73" s="182"/>
      <c r="AA73" s="187">
        <v>0</v>
      </c>
      <c r="AB73" s="187"/>
      <c r="AC73" s="182">
        <v>0</v>
      </c>
      <c r="AD73" s="182"/>
      <c r="AE73" s="182">
        <v>0</v>
      </c>
      <c r="AF73" s="182"/>
      <c r="AG73" s="182">
        <v>0</v>
      </c>
      <c r="AH73" s="182"/>
      <c r="AI73" s="182">
        <v>0</v>
      </c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</row>
    <row r="74" spans="1:54" ht="15.75" customHeight="1">
      <c r="A74" s="182" t="s">
        <v>124</v>
      </c>
      <c r="B74" s="182" t="s">
        <v>129</v>
      </c>
      <c r="C74" s="182" t="s">
        <v>121</v>
      </c>
      <c r="D74" s="182"/>
      <c r="E74" s="182">
        <v>150</v>
      </c>
      <c r="F74" s="182">
        <v>464</v>
      </c>
      <c r="G74" s="182">
        <v>200</v>
      </c>
      <c r="H74" s="182">
        <v>757</v>
      </c>
      <c r="I74" s="182">
        <v>300</v>
      </c>
      <c r="J74" s="182">
        <v>152</v>
      </c>
      <c r="K74" s="182">
        <v>125</v>
      </c>
      <c r="L74" s="182">
        <v>32</v>
      </c>
      <c r="M74" s="182">
        <v>175</v>
      </c>
      <c r="N74" s="182">
        <v>29</v>
      </c>
      <c r="O74" s="182">
        <v>325</v>
      </c>
      <c r="P74" s="182">
        <v>17</v>
      </c>
      <c r="Q74" s="182">
        <v>200</v>
      </c>
      <c r="R74" s="182"/>
      <c r="S74" s="182">
        <v>313</v>
      </c>
      <c r="T74" s="182"/>
      <c r="U74" s="182">
        <v>0</v>
      </c>
      <c r="V74" s="182"/>
      <c r="W74" s="182">
        <v>0</v>
      </c>
      <c r="X74" s="182"/>
      <c r="Y74" s="182">
        <v>0</v>
      </c>
      <c r="Z74" s="182"/>
      <c r="AA74" s="187">
        <v>0</v>
      </c>
      <c r="AB74" s="187"/>
      <c r="AC74" s="182">
        <v>0</v>
      </c>
      <c r="AD74" s="182"/>
      <c r="AE74" s="182">
        <v>0</v>
      </c>
      <c r="AF74" s="182"/>
      <c r="AG74" s="182">
        <v>0</v>
      </c>
      <c r="AH74" s="182"/>
      <c r="AI74" s="182">
        <v>0</v>
      </c>
      <c r="AJ74" s="182"/>
      <c r="AK74" s="182"/>
      <c r="AL74" s="182"/>
      <c r="AM74" s="182"/>
      <c r="AN74" s="182"/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</row>
    <row r="75" spans="1:54" ht="15.75" customHeight="1">
      <c r="A75" s="182" t="s">
        <v>124</v>
      </c>
      <c r="B75" s="182" t="s">
        <v>129</v>
      </c>
      <c r="C75" s="182" t="s">
        <v>28</v>
      </c>
      <c r="D75" s="182"/>
      <c r="E75" s="182">
        <v>0</v>
      </c>
      <c r="F75" s="182">
        <v>0</v>
      </c>
      <c r="G75" s="182">
        <v>0</v>
      </c>
      <c r="H75" s="182">
        <v>0</v>
      </c>
      <c r="I75" s="182">
        <v>0</v>
      </c>
      <c r="J75" s="182">
        <v>0</v>
      </c>
      <c r="K75" s="182">
        <v>0</v>
      </c>
      <c r="L75" s="182">
        <v>103</v>
      </c>
      <c r="M75" s="182">
        <v>0</v>
      </c>
      <c r="N75" s="182">
        <v>116</v>
      </c>
      <c r="O75" s="182">
        <v>40</v>
      </c>
      <c r="P75" s="182">
        <v>26</v>
      </c>
      <c r="Q75" s="182">
        <v>45</v>
      </c>
      <c r="R75" s="182"/>
      <c r="S75" s="182">
        <v>90</v>
      </c>
      <c r="T75" s="182"/>
      <c r="U75" s="182">
        <v>90</v>
      </c>
      <c r="V75" s="182"/>
      <c r="W75" s="182">
        <v>40</v>
      </c>
      <c r="X75" s="182"/>
      <c r="Y75" s="182">
        <v>40</v>
      </c>
      <c r="Z75" s="182"/>
      <c r="AA75" s="182">
        <v>45</v>
      </c>
      <c r="AB75" s="182"/>
      <c r="AC75" s="182">
        <v>0</v>
      </c>
      <c r="AD75" s="182"/>
      <c r="AE75" s="182">
        <v>0</v>
      </c>
      <c r="AF75" s="182"/>
      <c r="AG75" s="182">
        <v>0</v>
      </c>
      <c r="AH75" s="182"/>
      <c r="AI75" s="182">
        <v>0</v>
      </c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2"/>
    </row>
    <row r="76" spans="1:54" ht="15.75" customHeight="1">
      <c r="A76" s="182" t="s">
        <v>124</v>
      </c>
      <c r="B76" s="182" t="s">
        <v>129</v>
      </c>
      <c r="C76" s="182" t="s">
        <v>16</v>
      </c>
      <c r="D76" s="182"/>
      <c r="E76" s="182">
        <v>0</v>
      </c>
      <c r="F76" s="182">
        <v>0</v>
      </c>
      <c r="G76" s="182">
        <v>0</v>
      </c>
      <c r="H76" s="182">
        <v>0</v>
      </c>
      <c r="I76" s="182">
        <v>50</v>
      </c>
      <c r="J76" s="182">
        <v>0</v>
      </c>
      <c r="K76" s="182">
        <v>0</v>
      </c>
      <c r="L76" s="182">
        <v>103</v>
      </c>
      <c r="M76" s="182">
        <v>50</v>
      </c>
      <c r="N76" s="182">
        <v>116</v>
      </c>
      <c r="O76" s="182">
        <v>50</v>
      </c>
      <c r="P76" s="182">
        <v>26</v>
      </c>
      <c r="Q76" s="182">
        <v>50</v>
      </c>
      <c r="R76" s="182"/>
      <c r="S76" s="182">
        <v>54</v>
      </c>
      <c r="T76" s="182"/>
      <c r="U76" s="182">
        <v>50</v>
      </c>
      <c r="V76" s="182"/>
      <c r="W76" s="182">
        <v>50</v>
      </c>
      <c r="X76" s="182"/>
      <c r="Y76" s="182">
        <v>0</v>
      </c>
      <c r="Z76" s="182"/>
      <c r="AA76" s="187">
        <v>0</v>
      </c>
      <c r="AB76" s="187"/>
      <c r="AC76" s="182">
        <v>0</v>
      </c>
      <c r="AD76" s="182"/>
      <c r="AE76" s="182">
        <v>0</v>
      </c>
      <c r="AF76" s="182"/>
      <c r="AG76" s="182">
        <v>0</v>
      </c>
      <c r="AH76" s="182"/>
      <c r="AI76" s="182">
        <v>0</v>
      </c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2"/>
    </row>
    <row r="77" spans="1:54" ht="15.75" customHeight="1">
      <c r="A77" s="182" t="s">
        <v>124</v>
      </c>
      <c r="B77" s="182" t="s">
        <v>129</v>
      </c>
      <c r="C77" s="182" t="s">
        <v>17</v>
      </c>
      <c r="D77" s="182"/>
      <c r="E77" s="182">
        <v>0</v>
      </c>
      <c r="F77" s="182">
        <v>0</v>
      </c>
      <c r="G77" s="182">
        <v>0</v>
      </c>
      <c r="H77" s="182">
        <v>624</v>
      </c>
      <c r="I77" s="182">
        <v>600</v>
      </c>
      <c r="J77" s="182">
        <v>1153</v>
      </c>
      <c r="K77" s="182">
        <v>600</v>
      </c>
      <c r="L77" s="182">
        <v>0</v>
      </c>
      <c r="M77" s="182">
        <v>600</v>
      </c>
      <c r="N77" s="182">
        <v>1340</v>
      </c>
      <c r="O77" s="182">
        <v>600</v>
      </c>
      <c r="P77" s="182">
        <v>276</v>
      </c>
      <c r="Q77" s="182">
        <v>600</v>
      </c>
      <c r="R77" s="182"/>
      <c r="S77" s="182">
        <v>505</v>
      </c>
      <c r="T77" s="182"/>
      <c r="U77" s="182">
        <v>0</v>
      </c>
      <c r="V77" s="182"/>
      <c r="W77" s="182">
        <v>0</v>
      </c>
      <c r="X77" s="182"/>
      <c r="Y77" s="182">
        <v>0</v>
      </c>
      <c r="Z77" s="182"/>
      <c r="AA77" s="187">
        <v>0</v>
      </c>
      <c r="AB77" s="187"/>
      <c r="AC77" s="182">
        <v>0</v>
      </c>
      <c r="AD77" s="182"/>
      <c r="AE77" s="182">
        <v>0</v>
      </c>
      <c r="AF77" s="182"/>
      <c r="AG77" s="182">
        <v>0</v>
      </c>
      <c r="AH77" s="182"/>
      <c r="AI77" s="182">
        <v>0</v>
      </c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</row>
    <row r="78" spans="1:54" ht="15.75" customHeight="1">
      <c r="A78" s="182" t="s">
        <v>124</v>
      </c>
      <c r="B78" s="182" t="s">
        <v>129</v>
      </c>
      <c r="C78" s="182" t="s">
        <v>122</v>
      </c>
      <c r="D78" s="182"/>
      <c r="E78" s="182">
        <v>0</v>
      </c>
      <c r="F78" s="182" t="s">
        <v>123</v>
      </c>
      <c r="G78" s="182">
        <v>0</v>
      </c>
      <c r="H78" s="182" t="s">
        <v>123</v>
      </c>
      <c r="I78" s="182">
        <v>0</v>
      </c>
      <c r="J78" s="182" t="s">
        <v>123</v>
      </c>
      <c r="K78" s="182">
        <v>400</v>
      </c>
      <c r="L78" s="182" t="s">
        <v>123</v>
      </c>
      <c r="M78" s="182">
        <v>459</v>
      </c>
      <c r="N78" s="182" t="s">
        <v>123</v>
      </c>
      <c r="O78" s="182">
        <v>0</v>
      </c>
      <c r="P78" s="182" t="s">
        <v>123</v>
      </c>
      <c r="Q78" s="182">
        <v>0</v>
      </c>
      <c r="R78" s="182"/>
      <c r="S78" s="182">
        <v>0</v>
      </c>
      <c r="T78" s="182"/>
      <c r="U78" s="182">
        <v>0</v>
      </c>
      <c r="V78" s="182"/>
      <c r="W78" s="182">
        <v>0</v>
      </c>
      <c r="X78" s="182"/>
      <c r="Y78" s="182">
        <v>0</v>
      </c>
      <c r="Z78" s="182"/>
      <c r="AA78" s="187">
        <v>0</v>
      </c>
      <c r="AB78" s="187"/>
      <c r="AC78" s="182">
        <v>0</v>
      </c>
      <c r="AD78" s="182"/>
      <c r="AE78" s="182">
        <v>0</v>
      </c>
      <c r="AF78" s="182"/>
      <c r="AG78" s="182">
        <v>0</v>
      </c>
      <c r="AH78" s="182"/>
      <c r="AI78" s="182">
        <v>0</v>
      </c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</row>
    <row r="79" spans="1:54" ht="15.75" customHeight="1">
      <c r="A79" s="182" t="s">
        <v>124</v>
      </c>
      <c r="B79" s="182" t="s">
        <v>130</v>
      </c>
      <c r="C79" s="182" t="s">
        <v>121</v>
      </c>
      <c r="D79" s="182"/>
      <c r="E79" s="182">
        <v>700</v>
      </c>
      <c r="F79" s="182">
        <v>1087</v>
      </c>
      <c r="G79" s="182">
        <v>900</v>
      </c>
      <c r="H79" s="182">
        <v>1939</v>
      </c>
      <c r="I79" s="182">
        <v>800</v>
      </c>
      <c r="J79" s="182">
        <v>1018</v>
      </c>
      <c r="K79" s="182">
        <v>700</v>
      </c>
      <c r="L79" s="182">
        <v>266</v>
      </c>
      <c r="M79" s="182">
        <v>600</v>
      </c>
      <c r="N79" s="182">
        <v>148</v>
      </c>
      <c r="O79" s="182">
        <v>700</v>
      </c>
      <c r="P79" s="182">
        <v>41</v>
      </c>
      <c r="Q79" s="182">
        <v>900</v>
      </c>
      <c r="R79" s="182"/>
      <c r="S79" s="182">
        <v>800</v>
      </c>
      <c r="T79" s="182"/>
      <c r="U79" s="182">
        <v>900</v>
      </c>
      <c r="V79" s="182"/>
      <c r="W79" s="182">
        <v>800</v>
      </c>
      <c r="X79" s="182"/>
      <c r="Y79" s="182">
        <v>600</v>
      </c>
      <c r="Z79" s="182"/>
      <c r="AA79" s="182">
        <v>833</v>
      </c>
      <c r="AB79" s="182"/>
      <c r="AC79" s="182">
        <v>0</v>
      </c>
      <c r="AD79" s="182"/>
      <c r="AE79" s="182">
        <v>0</v>
      </c>
      <c r="AF79" s="182"/>
      <c r="AG79" s="182">
        <v>0</v>
      </c>
      <c r="AH79" s="182"/>
      <c r="AI79" s="182">
        <v>0</v>
      </c>
      <c r="AJ79" s="182"/>
      <c r="AK79" s="182"/>
      <c r="AL79" s="182"/>
      <c r="AM79" s="182"/>
      <c r="AN79" s="182"/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182"/>
      <c r="BA79" s="182"/>
      <c r="BB79" s="182"/>
    </row>
    <row r="80" spans="1:54" ht="15.75" customHeight="1">
      <c r="A80" s="182" t="s">
        <v>124</v>
      </c>
      <c r="B80" s="182" t="s">
        <v>130</v>
      </c>
      <c r="C80" s="182" t="s">
        <v>28</v>
      </c>
      <c r="D80" s="182"/>
      <c r="E80" s="182">
        <v>0</v>
      </c>
      <c r="F80" s="182">
        <v>0</v>
      </c>
      <c r="G80" s="182">
        <v>0</v>
      </c>
      <c r="H80" s="182">
        <v>0</v>
      </c>
      <c r="I80" s="182">
        <v>0</v>
      </c>
      <c r="J80" s="182">
        <v>0</v>
      </c>
      <c r="K80" s="182">
        <v>0</v>
      </c>
      <c r="L80" s="182">
        <v>2239</v>
      </c>
      <c r="M80" s="182">
        <v>0</v>
      </c>
      <c r="N80" s="182">
        <v>491</v>
      </c>
      <c r="O80" s="182">
        <v>440</v>
      </c>
      <c r="P80" s="182">
        <v>470</v>
      </c>
      <c r="Q80" s="182">
        <v>440</v>
      </c>
      <c r="R80" s="182"/>
      <c r="S80" s="182">
        <v>870</v>
      </c>
      <c r="T80" s="182"/>
      <c r="U80" s="182">
        <v>869</v>
      </c>
      <c r="V80" s="182"/>
      <c r="W80" s="182">
        <v>440</v>
      </c>
      <c r="X80" s="182"/>
      <c r="Y80" s="182">
        <v>440</v>
      </c>
      <c r="Z80" s="182"/>
      <c r="AA80" s="182">
        <v>440</v>
      </c>
      <c r="AB80" s="182"/>
      <c r="AC80" s="182">
        <v>0</v>
      </c>
      <c r="AD80" s="182"/>
      <c r="AE80" s="182">
        <v>0</v>
      </c>
      <c r="AF80" s="182"/>
      <c r="AG80" s="182">
        <v>0</v>
      </c>
      <c r="AH80" s="182"/>
      <c r="AI80" s="182">
        <v>0</v>
      </c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</row>
    <row r="81" spans="1:54" ht="15.75" customHeight="1">
      <c r="A81" s="182" t="s">
        <v>124</v>
      </c>
      <c r="B81" s="182" t="s">
        <v>130</v>
      </c>
      <c r="C81" s="182" t="s">
        <v>16</v>
      </c>
      <c r="D81" s="182"/>
      <c r="E81" s="182">
        <v>0</v>
      </c>
      <c r="F81" s="182">
        <v>0</v>
      </c>
      <c r="G81" s="182">
        <v>300</v>
      </c>
      <c r="H81" s="182">
        <v>37</v>
      </c>
      <c r="I81" s="182">
        <v>300</v>
      </c>
      <c r="J81" s="182">
        <v>66</v>
      </c>
      <c r="K81" s="182">
        <v>300</v>
      </c>
      <c r="L81" s="182">
        <v>2277</v>
      </c>
      <c r="M81" s="182">
        <v>300</v>
      </c>
      <c r="N81" s="182">
        <v>491</v>
      </c>
      <c r="O81" s="182">
        <v>400</v>
      </c>
      <c r="P81" s="182">
        <v>491</v>
      </c>
      <c r="Q81" s="182">
        <v>400</v>
      </c>
      <c r="R81" s="182"/>
      <c r="S81" s="182">
        <v>400</v>
      </c>
      <c r="T81" s="182"/>
      <c r="U81" s="182">
        <v>300</v>
      </c>
      <c r="V81" s="182"/>
      <c r="W81" s="182">
        <v>300</v>
      </c>
      <c r="X81" s="182"/>
      <c r="Y81" s="182">
        <v>315</v>
      </c>
      <c r="Z81" s="182"/>
      <c r="AA81" s="187">
        <v>0</v>
      </c>
      <c r="AB81" s="187"/>
      <c r="AC81" s="182">
        <v>0</v>
      </c>
      <c r="AD81" s="182"/>
      <c r="AE81" s="182">
        <v>0</v>
      </c>
      <c r="AF81" s="182"/>
      <c r="AG81" s="182">
        <v>0</v>
      </c>
      <c r="AH81" s="182"/>
      <c r="AI81" s="182">
        <v>0</v>
      </c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</row>
    <row r="82" spans="1:54" ht="15.75" customHeight="1">
      <c r="A82" s="182" t="s">
        <v>124</v>
      </c>
      <c r="B82" s="182" t="s">
        <v>130</v>
      </c>
      <c r="C82" s="182" t="s">
        <v>17</v>
      </c>
      <c r="D82" s="182"/>
      <c r="E82" s="182">
        <v>0</v>
      </c>
      <c r="F82" s="182">
        <v>0</v>
      </c>
      <c r="G82" s="182">
        <v>0</v>
      </c>
      <c r="H82" s="182">
        <v>5019</v>
      </c>
      <c r="I82" s="182">
        <v>3000</v>
      </c>
      <c r="J82" s="182">
        <v>6499</v>
      </c>
      <c r="K82" s="182">
        <v>3000</v>
      </c>
      <c r="L82" s="182">
        <v>6</v>
      </c>
      <c r="M82" s="182">
        <v>3000</v>
      </c>
      <c r="N82" s="182">
        <v>3227</v>
      </c>
      <c r="O82" s="182">
        <v>3000</v>
      </c>
      <c r="P82" s="182">
        <v>1016</v>
      </c>
      <c r="Q82" s="182">
        <v>3000</v>
      </c>
      <c r="R82" s="182"/>
      <c r="S82" s="182">
        <v>2933</v>
      </c>
      <c r="T82" s="182"/>
      <c r="U82" s="182">
        <v>0</v>
      </c>
      <c r="V82" s="182"/>
      <c r="W82" s="182">
        <v>0</v>
      </c>
      <c r="X82" s="182"/>
      <c r="Y82" s="182">
        <v>0</v>
      </c>
      <c r="Z82" s="182"/>
      <c r="AA82" s="187">
        <v>0</v>
      </c>
      <c r="AB82" s="187"/>
      <c r="AC82" s="182">
        <v>0</v>
      </c>
      <c r="AD82" s="182"/>
      <c r="AE82" s="182">
        <v>0</v>
      </c>
      <c r="AF82" s="182"/>
      <c r="AG82" s="182">
        <v>0</v>
      </c>
      <c r="AH82" s="182"/>
      <c r="AI82" s="182">
        <v>0</v>
      </c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</row>
    <row r="83" spans="1:54" ht="15.75" customHeight="1">
      <c r="A83" s="182" t="s">
        <v>124</v>
      </c>
      <c r="B83" s="182" t="s">
        <v>130</v>
      </c>
      <c r="C83" s="182" t="s">
        <v>122</v>
      </c>
      <c r="D83" s="182"/>
      <c r="E83" s="182">
        <v>0</v>
      </c>
      <c r="F83" s="182" t="s">
        <v>123</v>
      </c>
      <c r="G83" s="182">
        <v>0</v>
      </c>
      <c r="H83" s="182" t="s">
        <v>123</v>
      </c>
      <c r="I83" s="182">
        <v>0</v>
      </c>
      <c r="J83" s="182" t="s">
        <v>123</v>
      </c>
      <c r="K83" s="182">
        <v>4040</v>
      </c>
      <c r="L83" s="182" t="s">
        <v>123</v>
      </c>
      <c r="M83" s="182">
        <v>4040</v>
      </c>
      <c r="N83" s="182" t="s">
        <v>123</v>
      </c>
      <c r="O83" s="182">
        <v>0</v>
      </c>
      <c r="P83" s="182" t="s">
        <v>123</v>
      </c>
      <c r="Q83" s="182">
        <v>0</v>
      </c>
      <c r="R83" s="182"/>
      <c r="S83" s="182">
        <v>0</v>
      </c>
      <c r="T83" s="182"/>
      <c r="U83" s="182">
        <v>0</v>
      </c>
      <c r="V83" s="182"/>
      <c r="W83" s="182">
        <v>0</v>
      </c>
      <c r="X83" s="182"/>
      <c r="Y83" s="182">
        <v>0</v>
      </c>
      <c r="Z83" s="182"/>
      <c r="AA83" s="187">
        <v>0</v>
      </c>
      <c r="AB83" s="187"/>
      <c r="AC83" s="182">
        <v>0</v>
      </c>
      <c r="AD83" s="182"/>
      <c r="AE83" s="182">
        <v>0</v>
      </c>
      <c r="AF83" s="182"/>
      <c r="AG83" s="182">
        <v>0</v>
      </c>
      <c r="AH83" s="182"/>
      <c r="AI83" s="182">
        <v>0</v>
      </c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</row>
    <row r="84" spans="1:54" ht="15.75" customHeight="1">
      <c r="A84" s="182" t="s">
        <v>124</v>
      </c>
      <c r="B84" s="182" t="s">
        <v>131</v>
      </c>
      <c r="C84" s="182" t="s">
        <v>121</v>
      </c>
      <c r="D84" s="182"/>
      <c r="E84" s="182">
        <v>974</v>
      </c>
      <c r="F84" s="182">
        <v>644</v>
      </c>
      <c r="G84" s="182">
        <v>974</v>
      </c>
      <c r="H84" s="182">
        <v>801</v>
      </c>
      <c r="I84" s="182">
        <v>974</v>
      </c>
      <c r="J84" s="182">
        <v>324</v>
      </c>
      <c r="K84" s="182">
        <v>974</v>
      </c>
      <c r="L84" s="182">
        <v>339</v>
      </c>
      <c r="M84" s="182">
        <v>974</v>
      </c>
      <c r="N84" s="182">
        <v>356</v>
      </c>
      <c r="O84" s="182">
        <v>974</v>
      </c>
      <c r="P84" s="182">
        <v>224</v>
      </c>
      <c r="Q84" s="182">
        <v>976</v>
      </c>
      <c r="R84" s="182"/>
      <c r="S84" s="182">
        <v>974</v>
      </c>
      <c r="T84" s="182"/>
      <c r="U84" s="182">
        <v>974</v>
      </c>
      <c r="V84" s="182"/>
      <c r="W84" s="182">
        <v>823</v>
      </c>
      <c r="X84" s="182"/>
      <c r="Y84" s="182">
        <v>820</v>
      </c>
      <c r="Z84" s="182"/>
      <c r="AA84" s="182">
        <v>975</v>
      </c>
      <c r="AB84" s="182"/>
      <c r="AC84" s="182">
        <v>0</v>
      </c>
      <c r="AD84" s="182"/>
      <c r="AE84" s="182">
        <v>0</v>
      </c>
      <c r="AF84" s="182"/>
      <c r="AG84" s="182">
        <v>0</v>
      </c>
      <c r="AH84" s="182"/>
      <c r="AI84" s="182">
        <v>0</v>
      </c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</row>
    <row r="85" spans="1:54" ht="15.75" customHeight="1">
      <c r="A85" s="182" t="s">
        <v>124</v>
      </c>
      <c r="B85" s="182" t="s">
        <v>131</v>
      </c>
      <c r="C85" s="182" t="s">
        <v>28</v>
      </c>
      <c r="D85" s="182"/>
      <c r="E85" s="182">
        <v>0</v>
      </c>
      <c r="F85" s="182">
        <v>0</v>
      </c>
      <c r="G85" s="182">
        <v>0</v>
      </c>
      <c r="H85" s="182">
        <v>0</v>
      </c>
      <c r="I85" s="182">
        <v>1586</v>
      </c>
      <c r="J85" s="182">
        <v>13</v>
      </c>
      <c r="K85" s="182">
        <v>0</v>
      </c>
      <c r="L85" s="182">
        <v>1968</v>
      </c>
      <c r="M85" s="182">
        <v>0</v>
      </c>
      <c r="N85" s="182">
        <v>777</v>
      </c>
      <c r="O85" s="182">
        <v>0</v>
      </c>
      <c r="P85" s="182">
        <v>1267</v>
      </c>
      <c r="Q85" s="182">
        <v>1846</v>
      </c>
      <c r="R85" s="182"/>
      <c r="S85" s="182">
        <v>0</v>
      </c>
      <c r="T85" s="182"/>
      <c r="U85" s="182">
        <v>0</v>
      </c>
      <c r="V85" s="182"/>
      <c r="W85" s="182">
        <v>0</v>
      </c>
      <c r="X85" s="182"/>
      <c r="Y85" s="182">
        <v>0</v>
      </c>
      <c r="Z85" s="182"/>
      <c r="AA85" s="187">
        <v>0</v>
      </c>
      <c r="AB85" s="187"/>
      <c r="AC85" s="182">
        <v>0</v>
      </c>
      <c r="AD85" s="182"/>
      <c r="AE85" s="182">
        <v>0</v>
      </c>
      <c r="AF85" s="182"/>
      <c r="AG85" s="182">
        <v>0</v>
      </c>
      <c r="AH85" s="182"/>
      <c r="AI85" s="182">
        <v>0</v>
      </c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</row>
    <row r="86" spans="1:54" ht="15.75" customHeight="1">
      <c r="A86" s="182" t="s">
        <v>124</v>
      </c>
      <c r="B86" s="182" t="s">
        <v>131</v>
      </c>
      <c r="C86" s="182" t="s">
        <v>16</v>
      </c>
      <c r="D86" s="182"/>
      <c r="E86" s="182">
        <v>0</v>
      </c>
      <c r="F86" s="182">
        <v>0</v>
      </c>
      <c r="G86" s="182">
        <v>0</v>
      </c>
      <c r="H86" s="182">
        <v>0</v>
      </c>
      <c r="I86" s="182">
        <v>320</v>
      </c>
      <c r="J86" s="182">
        <v>13</v>
      </c>
      <c r="K86" s="182">
        <v>0</v>
      </c>
      <c r="L86" s="182">
        <v>2084</v>
      </c>
      <c r="M86" s="182">
        <v>1000</v>
      </c>
      <c r="N86" s="182">
        <v>785</v>
      </c>
      <c r="O86" s="182">
        <v>610</v>
      </c>
      <c r="P86" s="182">
        <v>1281</v>
      </c>
      <c r="Q86" s="182">
        <v>610</v>
      </c>
      <c r="R86" s="182"/>
      <c r="S86" s="182">
        <v>100</v>
      </c>
      <c r="T86" s="182"/>
      <c r="U86" s="182">
        <v>0</v>
      </c>
      <c r="V86" s="182"/>
      <c r="W86" s="182">
        <v>0</v>
      </c>
      <c r="X86" s="182"/>
      <c r="Y86" s="182">
        <v>0</v>
      </c>
      <c r="Z86" s="182"/>
      <c r="AA86" s="187">
        <v>0</v>
      </c>
      <c r="AB86" s="187"/>
      <c r="AC86" s="182">
        <v>0</v>
      </c>
      <c r="AD86" s="182"/>
      <c r="AE86" s="182">
        <v>0</v>
      </c>
      <c r="AF86" s="182"/>
      <c r="AG86" s="182">
        <v>0</v>
      </c>
      <c r="AH86" s="182"/>
      <c r="AI86" s="182">
        <v>0</v>
      </c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</row>
    <row r="87" spans="1:54" ht="15.75" customHeight="1">
      <c r="A87" s="182" t="s">
        <v>124</v>
      </c>
      <c r="B87" s="182" t="s">
        <v>131</v>
      </c>
      <c r="C87" s="182" t="s">
        <v>17</v>
      </c>
      <c r="D87" s="182"/>
      <c r="E87" s="182">
        <v>0</v>
      </c>
      <c r="F87" s="182">
        <v>2</v>
      </c>
      <c r="G87" s="182">
        <v>0</v>
      </c>
      <c r="H87" s="182">
        <v>254</v>
      </c>
      <c r="I87" s="182">
        <v>2520</v>
      </c>
      <c r="J87" s="182">
        <v>1714</v>
      </c>
      <c r="K87" s="182">
        <v>0</v>
      </c>
      <c r="L87" s="182">
        <v>0</v>
      </c>
      <c r="M87" s="182">
        <v>2520</v>
      </c>
      <c r="N87" s="182">
        <v>4500</v>
      </c>
      <c r="O87" s="182">
        <v>2520</v>
      </c>
      <c r="P87" s="182">
        <v>3015</v>
      </c>
      <c r="Q87" s="182">
        <v>1453</v>
      </c>
      <c r="R87" s="182"/>
      <c r="S87" s="182">
        <v>1454</v>
      </c>
      <c r="T87" s="182"/>
      <c r="U87" s="182">
        <v>2520</v>
      </c>
      <c r="V87" s="182"/>
      <c r="W87" s="182">
        <v>2520</v>
      </c>
      <c r="X87" s="182"/>
      <c r="Y87" s="182">
        <v>2520</v>
      </c>
      <c r="Z87" s="182"/>
      <c r="AA87" s="182">
        <v>2137</v>
      </c>
      <c r="AB87" s="182"/>
      <c r="AC87" s="182">
        <v>0</v>
      </c>
      <c r="AD87" s="182"/>
      <c r="AE87" s="182">
        <v>0</v>
      </c>
      <c r="AF87" s="182"/>
      <c r="AG87" s="182">
        <v>0</v>
      </c>
      <c r="AH87" s="182"/>
      <c r="AI87" s="182">
        <v>0</v>
      </c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82"/>
      <c r="BA87" s="182"/>
      <c r="BB87" s="182"/>
    </row>
    <row r="88" spans="1:54" ht="15.75" customHeight="1">
      <c r="A88" s="182" t="s">
        <v>124</v>
      </c>
      <c r="B88" s="182" t="s">
        <v>131</v>
      </c>
      <c r="C88" s="182" t="s">
        <v>122</v>
      </c>
      <c r="D88" s="182"/>
      <c r="E88" s="182">
        <v>0</v>
      </c>
      <c r="F88" s="182" t="s">
        <v>123</v>
      </c>
      <c r="G88" s="182">
        <v>0</v>
      </c>
      <c r="H88" s="182" t="s">
        <v>123</v>
      </c>
      <c r="I88" s="182">
        <v>0</v>
      </c>
      <c r="J88" s="182" t="s">
        <v>123</v>
      </c>
      <c r="K88" s="182">
        <v>285</v>
      </c>
      <c r="L88" s="182" t="s">
        <v>123</v>
      </c>
      <c r="M88" s="182">
        <v>0</v>
      </c>
      <c r="N88" s="182" t="s">
        <v>123</v>
      </c>
      <c r="O88" s="182">
        <v>0</v>
      </c>
      <c r="P88" s="182" t="s">
        <v>123</v>
      </c>
      <c r="Q88" s="182">
        <v>0</v>
      </c>
      <c r="R88" s="182"/>
      <c r="S88" s="182">
        <v>0</v>
      </c>
      <c r="T88" s="182"/>
      <c r="U88" s="182">
        <v>0</v>
      </c>
      <c r="V88" s="182"/>
      <c r="W88" s="182">
        <v>0</v>
      </c>
      <c r="X88" s="182"/>
      <c r="Y88" s="182">
        <v>0</v>
      </c>
      <c r="Z88" s="182"/>
      <c r="AA88" s="187">
        <v>0</v>
      </c>
      <c r="AB88" s="187"/>
      <c r="AC88" s="182">
        <v>0</v>
      </c>
      <c r="AD88" s="182"/>
      <c r="AE88" s="182">
        <v>0</v>
      </c>
      <c r="AF88" s="182"/>
      <c r="AG88" s="182">
        <v>0</v>
      </c>
      <c r="AH88" s="182"/>
      <c r="AI88" s="182">
        <v>0</v>
      </c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</row>
    <row r="89" spans="1:54" ht="15.75" customHeight="1">
      <c r="A89" s="182" t="s">
        <v>132</v>
      </c>
      <c r="B89" s="182" t="s">
        <v>104</v>
      </c>
      <c r="C89" s="182" t="s">
        <v>121</v>
      </c>
      <c r="D89" s="182"/>
      <c r="E89" s="182">
        <v>566</v>
      </c>
      <c r="F89" s="182">
        <v>167</v>
      </c>
      <c r="G89" s="182">
        <v>679</v>
      </c>
      <c r="H89" s="182">
        <v>264</v>
      </c>
      <c r="I89" s="182">
        <v>779</v>
      </c>
      <c r="J89" s="182">
        <v>91</v>
      </c>
      <c r="K89" s="182">
        <v>779</v>
      </c>
      <c r="L89" s="182">
        <v>18</v>
      </c>
      <c r="M89" s="182">
        <v>0</v>
      </c>
      <c r="N89" s="182">
        <v>0</v>
      </c>
      <c r="O89" s="182">
        <v>0</v>
      </c>
      <c r="P89" s="182">
        <v>25</v>
      </c>
      <c r="Q89" s="182">
        <v>679</v>
      </c>
      <c r="R89" s="182"/>
      <c r="S89" s="182">
        <v>679</v>
      </c>
      <c r="T89" s="182"/>
      <c r="U89" s="182">
        <v>635</v>
      </c>
      <c r="V89" s="182"/>
      <c r="W89" s="182">
        <v>0</v>
      </c>
      <c r="X89" s="182"/>
      <c r="Y89" s="182">
        <v>0</v>
      </c>
      <c r="Z89" s="182"/>
      <c r="AA89" s="182">
        <v>0</v>
      </c>
      <c r="AB89" s="182"/>
      <c r="AC89" s="182">
        <v>0</v>
      </c>
      <c r="AD89" s="182"/>
      <c r="AE89" s="182">
        <v>0</v>
      </c>
      <c r="AF89" s="182"/>
      <c r="AG89" s="182">
        <v>0</v>
      </c>
      <c r="AH89" s="182"/>
      <c r="AI89" s="182">
        <v>0</v>
      </c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</row>
    <row r="90" spans="1:54" ht="15.75" customHeight="1">
      <c r="A90" s="182" t="s">
        <v>132</v>
      </c>
      <c r="B90" s="182" t="s">
        <v>104</v>
      </c>
      <c r="C90" s="182" t="s">
        <v>28</v>
      </c>
      <c r="D90" s="182"/>
      <c r="E90" s="182">
        <v>0</v>
      </c>
      <c r="F90" s="182">
        <v>0</v>
      </c>
      <c r="G90" s="182">
        <v>0</v>
      </c>
      <c r="H90" s="182">
        <v>0</v>
      </c>
      <c r="I90" s="182">
        <v>1417</v>
      </c>
      <c r="J90" s="182">
        <v>0</v>
      </c>
      <c r="K90" s="182">
        <v>1417</v>
      </c>
      <c r="L90" s="182">
        <v>3951</v>
      </c>
      <c r="M90" s="182">
        <v>0</v>
      </c>
      <c r="N90" s="182">
        <v>26</v>
      </c>
      <c r="O90" s="182">
        <v>0</v>
      </c>
      <c r="P90" s="182">
        <v>13</v>
      </c>
      <c r="Q90" s="182">
        <v>1417</v>
      </c>
      <c r="R90" s="182"/>
      <c r="S90" s="182">
        <v>1417</v>
      </c>
      <c r="T90" s="182"/>
      <c r="U90" s="182">
        <v>0</v>
      </c>
      <c r="V90" s="182"/>
      <c r="W90" s="182">
        <v>0</v>
      </c>
      <c r="X90" s="182"/>
      <c r="Y90" s="182">
        <v>0</v>
      </c>
      <c r="Z90" s="182"/>
      <c r="AA90" s="182">
        <v>0</v>
      </c>
      <c r="AB90" s="182"/>
      <c r="AC90" s="182">
        <v>0</v>
      </c>
      <c r="AD90" s="182"/>
      <c r="AE90" s="182">
        <v>0</v>
      </c>
      <c r="AF90" s="182"/>
      <c r="AG90" s="182">
        <v>0</v>
      </c>
      <c r="AH90" s="182"/>
      <c r="AI90" s="182">
        <v>0</v>
      </c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</row>
    <row r="91" spans="1:54" ht="15.75" customHeight="1">
      <c r="A91" s="182" t="s">
        <v>132</v>
      </c>
      <c r="B91" s="182" t="s">
        <v>104</v>
      </c>
      <c r="C91" s="182" t="s">
        <v>16</v>
      </c>
      <c r="D91" s="182"/>
      <c r="E91" s="182">
        <v>0</v>
      </c>
      <c r="F91" s="182">
        <v>0</v>
      </c>
      <c r="G91" s="182">
        <v>654</v>
      </c>
      <c r="H91" s="182">
        <v>0</v>
      </c>
      <c r="I91" s="182">
        <v>654</v>
      </c>
      <c r="J91" s="182">
        <v>0</v>
      </c>
      <c r="K91" s="182">
        <v>0</v>
      </c>
      <c r="L91" s="182">
        <v>3951</v>
      </c>
      <c r="M91" s="182">
        <v>0</v>
      </c>
      <c r="N91" s="182">
        <v>26</v>
      </c>
      <c r="O91" s="182">
        <v>0</v>
      </c>
      <c r="P91" s="182">
        <v>13</v>
      </c>
      <c r="Q91" s="182">
        <v>654</v>
      </c>
      <c r="R91" s="182"/>
      <c r="S91" s="182">
        <v>654</v>
      </c>
      <c r="T91" s="182"/>
      <c r="U91" s="182">
        <v>654</v>
      </c>
      <c r="V91" s="182"/>
      <c r="W91" s="182">
        <v>654</v>
      </c>
      <c r="X91" s="182"/>
      <c r="Y91" s="182">
        <v>436</v>
      </c>
      <c r="Z91" s="182"/>
      <c r="AA91" s="182">
        <v>0</v>
      </c>
      <c r="AB91" s="182"/>
      <c r="AC91" s="182">
        <v>0</v>
      </c>
      <c r="AD91" s="182"/>
      <c r="AE91" s="182">
        <v>0</v>
      </c>
      <c r="AF91" s="182"/>
      <c r="AG91" s="182">
        <v>0</v>
      </c>
      <c r="AH91" s="182"/>
      <c r="AI91" s="182">
        <v>0</v>
      </c>
      <c r="AJ91" s="182"/>
      <c r="AK91" s="182"/>
      <c r="AL91" s="182"/>
      <c r="AM91" s="182"/>
      <c r="AN91" s="182"/>
      <c r="AO91" s="182"/>
      <c r="AP91" s="182"/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</row>
    <row r="92" spans="1:54" ht="15.75" customHeight="1">
      <c r="A92" s="182" t="s">
        <v>132</v>
      </c>
      <c r="B92" s="182" t="s">
        <v>104</v>
      </c>
      <c r="C92" s="182" t="s">
        <v>17</v>
      </c>
      <c r="D92" s="182"/>
      <c r="E92" s="182">
        <v>0</v>
      </c>
      <c r="F92" s="182">
        <v>1</v>
      </c>
      <c r="G92" s="182">
        <v>7000</v>
      </c>
      <c r="H92" s="182">
        <v>313</v>
      </c>
      <c r="I92" s="182">
        <v>7000</v>
      </c>
      <c r="J92" s="182">
        <v>20974</v>
      </c>
      <c r="K92" s="182">
        <v>0</v>
      </c>
      <c r="L92" s="182">
        <v>12701</v>
      </c>
      <c r="M92" s="182">
        <v>7000</v>
      </c>
      <c r="N92" s="182">
        <v>94</v>
      </c>
      <c r="O92" s="182">
        <v>7000</v>
      </c>
      <c r="P92" s="182">
        <v>2</v>
      </c>
      <c r="Q92" s="182">
        <v>7000</v>
      </c>
      <c r="R92" s="182"/>
      <c r="S92" s="182">
        <v>7000</v>
      </c>
      <c r="T92" s="182"/>
      <c r="U92" s="182">
        <v>8631</v>
      </c>
      <c r="V92" s="182"/>
      <c r="W92" s="182">
        <v>0</v>
      </c>
      <c r="X92" s="182"/>
      <c r="Y92" s="182">
        <v>0</v>
      </c>
      <c r="Z92" s="182"/>
      <c r="AA92" s="182">
        <v>0</v>
      </c>
      <c r="AB92" s="182"/>
      <c r="AC92" s="182">
        <v>0</v>
      </c>
      <c r="AD92" s="182"/>
      <c r="AE92" s="182">
        <v>0</v>
      </c>
      <c r="AF92" s="182"/>
      <c r="AG92" s="182">
        <v>0</v>
      </c>
      <c r="AH92" s="182"/>
      <c r="AI92" s="182">
        <v>0</v>
      </c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</row>
    <row r="93" spans="1:54" ht="15.75" customHeight="1">
      <c r="A93" s="182" t="s">
        <v>132</v>
      </c>
      <c r="B93" s="182" t="s">
        <v>104</v>
      </c>
      <c r="C93" s="182" t="s">
        <v>122</v>
      </c>
      <c r="D93" s="182"/>
      <c r="E93" s="182">
        <v>0</v>
      </c>
      <c r="F93" s="182" t="s">
        <v>123</v>
      </c>
      <c r="G93" s="182">
        <v>0</v>
      </c>
      <c r="H93" s="182" t="s">
        <v>123</v>
      </c>
      <c r="I93" s="182">
        <v>0</v>
      </c>
      <c r="J93" s="182" t="s">
        <v>123</v>
      </c>
      <c r="K93" s="182">
        <v>0</v>
      </c>
      <c r="L93" s="182" t="s">
        <v>123</v>
      </c>
      <c r="M93" s="182">
        <v>0</v>
      </c>
      <c r="N93" s="182" t="s">
        <v>123</v>
      </c>
      <c r="O93" s="182">
        <v>0</v>
      </c>
      <c r="P93" s="182" t="s">
        <v>123</v>
      </c>
      <c r="Q93" s="182">
        <v>0</v>
      </c>
      <c r="R93" s="182"/>
      <c r="S93" s="182">
        <v>0</v>
      </c>
      <c r="T93" s="182"/>
      <c r="U93" s="182">
        <v>0</v>
      </c>
      <c r="V93" s="182"/>
      <c r="W93" s="182">
        <v>0</v>
      </c>
      <c r="X93" s="182"/>
      <c r="Y93" s="182">
        <v>0</v>
      </c>
      <c r="Z93" s="182"/>
      <c r="AA93" s="182">
        <v>0</v>
      </c>
      <c r="AB93" s="182"/>
      <c r="AC93" s="182">
        <v>0</v>
      </c>
      <c r="AD93" s="182"/>
      <c r="AE93" s="182">
        <v>0</v>
      </c>
      <c r="AF93" s="182"/>
      <c r="AG93" s="182">
        <v>0</v>
      </c>
      <c r="AH93" s="182"/>
      <c r="AI93" s="182">
        <v>0</v>
      </c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  <c r="AT93" s="182"/>
      <c r="AU93" s="182"/>
      <c r="AV93" s="182"/>
      <c r="AW93" s="182"/>
      <c r="AX93" s="182"/>
      <c r="AY93" s="182"/>
      <c r="AZ93" s="182"/>
      <c r="BA93" s="182"/>
      <c r="BB93" s="182"/>
    </row>
    <row r="94" spans="1:54" ht="15.75" customHeight="1">
      <c r="A94" s="182" t="s">
        <v>132</v>
      </c>
      <c r="B94" s="182" t="s">
        <v>105</v>
      </c>
      <c r="C94" s="182" t="s">
        <v>121</v>
      </c>
      <c r="D94" s="182"/>
      <c r="E94" s="182">
        <v>875</v>
      </c>
      <c r="F94" s="182">
        <v>856</v>
      </c>
      <c r="G94" s="182">
        <v>1225</v>
      </c>
      <c r="H94" s="182">
        <v>1091</v>
      </c>
      <c r="I94" s="182">
        <v>1750</v>
      </c>
      <c r="J94" s="182">
        <v>902</v>
      </c>
      <c r="K94" s="182">
        <v>1750</v>
      </c>
      <c r="L94" s="182">
        <v>3412</v>
      </c>
      <c r="M94" s="182">
        <v>525</v>
      </c>
      <c r="N94" s="182">
        <v>452</v>
      </c>
      <c r="O94" s="182">
        <v>350</v>
      </c>
      <c r="P94" s="182">
        <v>0</v>
      </c>
      <c r="Q94" s="182">
        <v>1666</v>
      </c>
      <c r="R94" s="182"/>
      <c r="S94" s="182">
        <v>2275</v>
      </c>
      <c r="T94" s="182"/>
      <c r="U94" s="182">
        <v>1750</v>
      </c>
      <c r="V94" s="182"/>
      <c r="W94" s="182">
        <v>1750</v>
      </c>
      <c r="X94" s="182"/>
      <c r="Y94" s="182">
        <v>1515</v>
      </c>
      <c r="Z94" s="182"/>
      <c r="AA94" s="182">
        <v>1050</v>
      </c>
      <c r="AB94" s="182"/>
      <c r="AC94" s="182">
        <v>0</v>
      </c>
      <c r="AD94" s="182"/>
      <c r="AE94" s="182">
        <v>0</v>
      </c>
      <c r="AF94" s="182"/>
      <c r="AG94" s="182">
        <v>0</v>
      </c>
      <c r="AH94" s="182"/>
      <c r="AI94" s="182">
        <v>0</v>
      </c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  <c r="AT94" s="182"/>
      <c r="AU94" s="182"/>
      <c r="AV94" s="182"/>
      <c r="AW94" s="182"/>
      <c r="AX94" s="182"/>
      <c r="AY94" s="182"/>
      <c r="AZ94" s="182"/>
      <c r="BA94" s="182"/>
      <c r="BB94" s="182"/>
    </row>
    <row r="95" spans="1:54" ht="15.75" customHeight="1">
      <c r="A95" s="182" t="s">
        <v>132</v>
      </c>
      <c r="B95" s="182" t="s">
        <v>105</v>
      </c>
      <c r="C95" s="182" t="s">
        <v>28</v>
      </c>
      <c r="D95" s="182"/>
      <c r="E95" s="182">
        <v>0</v>
      </c>
      <c r="F95" s="182">
        <v>0</v>
      </c>
      <c r="G95" s="182">
        <v>0</v>
      </c>
      <c r="H95" s="182">
        <v>0</v>
      </c>
      <c r="I95" s="182">
        <v>1079</v>
      </c>
      <c r="J95" s="182">
        <v>117</v>
      </c>
      <c r="K95" s="182">
        <v>1079</v>
      </c>
      <c r="L95" s="182">
        <v>1063</v>
      </c>
      <c r="M95" s="182">
        <v>736</v>
      </c>
      <c r="N95" s="182">
        <v>0</v>
      </c>
      <c r="O95" s="182">
        <v>736</v>
      </c>
      <c r="P95" s="182">
        <v>0</v>
      </c>
      <c r="Q95" s="182">
        <v>0</v>
      </c>
      <c r="R95" s="182"/>
      <c r="S95" s="182">
        <v>0</v>
      </c>
      <c r="T95" s="182"/>
      <c r="U95" s="182">
        <v>0</v>
      </c>
      <c r="V95" s="182"/>
      <c r="W95" s="182">
        <v>0</v>
      </c>
      <c r="X95" s="182"/>
      <c r="Y95" s="182">
        <v>0</v>
      </c>
      <c r="Z95" s="182"/>
      <c r="AA95" s="182">
        <v>0</v>
      </c>
      <c r="AB95" s="182"/>
      <c r="AC95" s="182">
        <v>0</v>
      </c>
      <c r="AD95" s="182"/>
      <c r="AE95" s="182">
        <v>0</v>
      </c>
      <c r="AF95" s="182"/>
      <c r="AG95" s="182">
        <v>0</v>
      </c>
      <c r="AH95" s="182"/>
      <c r="AI95" s="182">
        <v>0</v>
      </c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</row>
    <row r="96" spans="1:54" ht="15.75" customHeight="1">
      <c r="A96" s="182" t="s">
        <v>132</v>
      </c>
      <c r="B96" s="182" t="s">
        <v>105</v>
      </c>
      <c r="C96" s="182" t="s">
        <v>16</v>
      </c>
      <c r="D96" s="182"/>
      <c r="E96" s="182">
        <v>0</v>
      </c>
      <c r="F96" s="182">
        <v>10</v>
      </c>
      <c r="G96" s="182">
        <v>0</v>
      </c>
      <c r="H96" s="182">
        <v>10</v>
      </c>
      <c r="I96" s="182">
        <v>583</v>
      </c>
      <c r="J96" s="182">
        <v>117</v>
      </c>
      <c r="K96" s="182">
        <v>583</v>
      </c>
      <c r="L96" s="182">
        <v>1063</v>
      </c>
      <c r="M96" s="182">
        <v>584</v>
      </c>
      <c r="N96" s="182">
        <v>0</v>
      </c>
      <c r="O96" s="182">
        <v>0</v>
      </c>
      <c r="P96" s="182">
        <v>0</v>
      </c>
      <c r="Q96" s="182">
        <v>0</v>
      </c>
      <c r="R96" s="182"/>
      <c r="S96" s="182">
        <v>875</v>
      </c>
      <c r="T96" s="182"/>
      <c r="U96" s="182">
        <v>875</v>
      </c>
      <c r="V96" s="182"/>
      <c r="W96" s="182">
        <v>0</v>
      </c>
      <c r="X96" s="182"/>
      <c r="Y96" s="182">
        <v>0</v>
      </c>
      <c r="Z96" s="182"/>
      <c r="AA96" s="182">
        <v>0</v>
      </c>
      <c r="AB96" s="182"/>
      <c r="AC96" s="182">
        <v>0</v>
      </c>
      <c r="AD96" s="182"/>
      <c r="AE96" s="182">
        <v>0</v>
      </c>
      <c r="AF96" s="182"/>
      <c r="AG96" s="182">
        <v>0</v>
      </c>
      <c r="AH96" s="182"/>
      <c r="AI96" s="182">
        <v>0</v>
      </c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</row>
    <row r="97" spans="1:54" ht="15.75" customHeight="1">
      <c r="A97" s="182" t="s">
        <v>132</v>
      </c>
      <c r="B97" s="182" t="s">
        <v>105</v>
      </c>
      <c r="C97" s="182" t="s">
        <v>17</v>
      </c>
      <c r="D97" s="182"/>
      <c r="E97" s="182">
        <v>0</v>
      </c>
      <c r="F97" s="182">
        <v>0</v>
      </c>
      <c r="G97" s="182">
        <v>0</v>
      </c>
      <c r="H97" s="182">
        <v>0</v>
      </c>
      <c r="I97" s="182">
        <v>0</v>
      </c>
      <c r="J97" s="182">
        <v>0</v>
      </c>
      <c r="K97" s="182">
        <v>0</v>
      </c>
      <c r="L97" s="182">
        <v>0</v>
      </c>
      <c r="M97" s="182">
        <v>0</v>
      </c>
      <c r="N97" s="182">
        <v>0</v>
      </c>
      <c r="O97" s="182">
        <v>0</v>
      </c>
      <c r="P97" s="182">
        <v>0</v>
      </c>
      <c r="Q97" s="182">
        <v>0</v>
      </c>
      <c r="R97" s="182"/>
      <c r="S97" s="182">
        <v>0</v>
      </c>
      <c r="T97" s="182"/>
      <c r="U97" s="182">
        <v>0</v>
      </c>
      <c r="V97" s="182"/>
      <c r="W97" s="182">
        <v>0</v>
      </c>
      <c r="X97" s="182"/>
      <c r="Y97" s="182">
        <v>0</v>
      </c>
      <c r="Z97" s="182"/>
      <c r="AA97" s="182">
        <v>0</v>
      </c>
      <c r="AB97" s="182"/>
      <c r="AC97" s="182">
        <v>0</v>
      </c>
      <c r="AD97" s="182"/>
      <c r="AE97" s="182">
        <v>0</v>
      </c>
      <c r="AF97" s="182"/>
      <c r="AG97" s="182">
        <v>0</v>
      </c>
      <c r="AH97" s="182"/>
      <c r="AI97" s="182">
        <v>0</v>
      </c>
      <c r="AJ97" s="182"/>
      <c r="AK97" s="182"/>
      <c r="AL97" s="182"/>
      <c r="AM97" s="182"/>
      <c r="AN97" s="182"/>
      <c r="AO97" s="182"/>
      <c r="AP97" s="182"/>
      <c r="AQ97" s="182"/>
      <c r="AR97" s="182"/>
      <c r="AS97" s="182"/>
      <c r="AT97" s="182"/>
      <c r="AU97" s="182"/>
      <c r="AV97" s="182"/>
      <c r="AW97" s="182"/>
      <c r="AX97" s="182"/>
      <c r="AY97" s="182"/>
      <c r="AZ97" s="182"/>
      <c r="BA97" s="182"/>
      <c r="BB97" s="182"/>
    </row>
    <row r="98" spans="1:54" ht="15.75" customHeight="1">
      <c r="A98" s="182" t="s">
        <v>132</v>
      </c>
      <c r="B98" s="182" t="s">
        <v>105</v>
      </c>
      <c r="C98" s="182" t="s">
        <v>122</v>
      </c>
      <c r="D98" s="182"/>
      <c r="E98" s="182">
        <v>0</v>
      </c>
      <c r="F98" s="182" t="s">
        <v>123</v>
      </c>
      <c r="G98" s="182">
        <v>0</v>
      </c>
      <c r="H98" s="182" t="s">
        <v>123</v>
      </c>
      <c r="I98" s="182">
        <v>0</v>
      </c>
      <c r="J98" s="182" t="s">
        <v>123</v>
      </c>
      <c r="K98" s="182">
        <v>0</v>
      </c>
      <c r="L98" s="182" t="s">
        <v>123</v>
      </c>
      <c r="M98" s="182">
        <v>0</v>
      </c>
      <c r="N98" s="182" t="s">
        <v>123</v>
      </c>
      <c r="O98" s="182">
        <v>0</v>
      </c>
      <c r="P98" s="182" t="s">
        <v>123</v>
      </c>
      <c r="Q98" s="182">
        <v>0</v>
      </c>
      <c r="R98" s="182"/>
      <c r="S98" s="182">
        <v>0</v>
      </c>
      <c r="T98" s="182"/>
      <c r="U98" s="182">
        <v>0</v>
      </c>
      <c r="V98" s="182"/>
      <c r="W98" s="182">
        <v>0</v>
      </c>
      <c r="X98" s="182"/>
      <c r="Y98" s="182">
        <v>0</v>
      </c>
      <c r="Z98" s="182"/>
      <c r="AA98" s="182">
        <v>0</v>
      </c>
      <c r="AB98" s="182"/>
      <c r="AC98" s="182">
        <v>0</v>
      </c>
      <c r="AD98" s="182"/>
      <c r="AE98" s="182">
        <v>0</v>
      </c>
      <c r="AF98" s="182"/>
      <c r="AG98" s="182">
        <v>0</v>
      </c>
      <c r="AH98" s="182"/>
      <c r="AI98" s="182">
        <v>0</v>
      </c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  <c r="AT98" s="182"/>
      <c r="AU98" s="182"/>
      <c r="AV98" s="182"/>
      <c r="AW98" s="182"/>
      <c r="AX98" s="182"/>
      <c r="AY98" s="182"/>
      <c r="AZ98" s="182"/>
      <c r="BA98" s="182"/>
      <c r="BB98" s="182"/>
    </row>
    <row r="99" spans="1:54" ht="15.75" customHeight="1">
      <c r="A99" s="182" t="s">
        <v>132</v>
      </c>
      <c r="B99" s="182" t="s">
        <v>106</v>
      </c>
      <c r="C99" s="182" t="s">
        <v>121</v>
      </c>
      <c r="D99" s="182"/>
      <c r="E99" s="182">
        <v>835</v>
      </c>
      <c r="F99" s="182">
        <v>136</v>
      </c>
      <c r="G99" s="187">
        <v>1644</v>
      </c>
      <c r="H99" s="182">
        <v>225</v>
      </c>
      <c r="I99" s="182">
        <v>1781</v>
      </c>
      <c r="J99" s="182">
        <v>209</v>
      </c>
      <c r="K99" s="187">
        <v>1781</v>
      </c>
      <c r="L99" s="182">
        <v>369</v>
      </c>
      <c r="M99" s="182">
        <v>427</v>
      </c>
      <c r="N99" s="182">
        <v>24</v>
      </c>
      <c r="O99" s="182">
        <v>261</v>
      </c>
      <c r="P99" s="182">
        <v>5</v>
      </c>
      <c r="Q99" s="182">
        <v>816</v>
      </c>
      <c r="R99" s="182"/>
      <c r="S99" s="187">
        <v>1224</v>
      </c>
      <c r="T99" s="182"/>
      <c r="U99" s="187">
        <v>1768</v>
      </c>
      <c r="V99" s="187"/>
      <c r="W99" s="187">
        <v>1632</v>
      </c>
      <c r="X99" s="187"/>
      <c r="Y99" s="187">
        <v>1088</v>
      </c>
      <c r="Z99" s="187"/>
      <c r="AA99" s="187">
        <v>1088</v>
      </c>
      <c r="AB99" s="187"/>
      <c r="AC99" s="182">
        <v>0</v>
      </c>
      <c r="AD99" s="182"/>
      <c r="AE99" s="182">
        <v>0</v>
      </c>
      <c r="AF99" s="182"/>
      <c r="AG99" s="182">
        <v>0</v>
      </c>
      <c r="AH99" s="182"/>
      <c r="AI99" s="182">
        <v>0</v>
      </c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182"/>
      <c r="AZ99" s="182"/>
      <c r="BA99" s="182"/>
      <c r="BB99" s="182"/>
    </row>
    <row r="100" spans="1:54" ht="15.75" customHeight="1">
      <c r="A100" s="182" t="s">
        <v>132</v>
      </c>
      <c r="B100" s="182" t="s">
        <v>106</v>
      </c>
      <c r="C100" s="182" t="s">
        <v>28</v>
      </c>
      <c r="D100" s="182"/>
      <c r="E100" s="182">
        <v>0</v>
      </c>
      <c r="F100" s="182">
        <v>0</v>
      </c>
      <c r="G100" s="182">
        <v>0</v>
      </c>
      <c r="H100" s="182">
        <v>0</v>
      </c>
      <c r="I100" s="182">
        <v>0</v>
      </c>
      <c r="J100" s="182">
        <v>0</v>
      </c>
      <c r="K100" s="182">
        <v>0</v>
      </c>
      <c r="L100" s="182">
        <v>0</v>
      </c>
      <c r="M100" s="182">
        <v>548</v>
      </c>
      <c r="N100" s="182">
        <v>0</v>
      </c>
      <c r="O100" s="182">
        <v>548</v>
      </c>
      <c r="P100" s="182">
        <v>0</v>
      </c>
      <c r="Q100" s="182">
        <v>548</v>
      </c>
      <c r="R100" s="182"/>
      <c r="S100" s="182">
        <v>548</v>
      </c>
      <c r="T100" s="182"/>
      <c r="U100" s="182">
        <v>0</v>
      </c>
      <c r="V100" s="182"/>
      <c r="W100" s="182">
        <v>0</v>
      </c>
      <c r="X100" s="182"/>
      <c r="Y100" s="182">
        <v>0</v>
      </c>
      <c r="Z100" s="182"/>
      <c r="AA100" s="182">
        <v>0</v>
      </c>
      <c r="AB100" s="182"/>
      <c r="AC100" s="182">
        <v>0</v>
      </c>
      <c r="AD100" s="182"/>
      <c r="AE100" s="182">
        <v>0</v>
      </c>
      <c r="AF100" s="182"/>
      <c r="AG100" s="182">
        <v>0</v>
      </c>
      <c r="AH100" s="182"/>
      <c r="AI100" s="182">
        <v>0</v>
      </c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  <c r="AY100" s="182"/>
      <c r="AZ100" s="182"/>
      <c r="BA100" s="182"/>
      <c r="BB100" s="182"/>
    </row>
    <row r="101" spans="1:54" ht="15.75" customHeight="1">
      <c r="A101" s="182" t="s">
        <v>132</v>
      </c>
      <c r="B101" s="182" t="s">
        <v>106</v>
      </c>
      <c r="C101" s="182" t="s">
        <v>16</v>
      </c>
      <c r="D101" s="182"/>
      <c r="E101" s="182">
        <v>0</v>
      </c>
      <c r="F101" s="182">
        <v>12</v>
      </c>
      <c r="G101" s="182">
        <v>0</v>
      </c>
      <c r="H101" s="182">
        <v>0</v>
      </c>
      <c r="I101" s="182">
        <v>460</v>
      </c>
      <c r="J101" s="182">
        <v>0</v>
      </c>
      <c r="K101" s="182">
        <v>460</v>
      </c>
      <c r="L101" s="182">
        <v>0</v>
      </c>
      <c r="M101" s="182">
        <v>300</v>
      </c>
      <c r="N101" s="182">
        <v>0</v>
      </c>
      <c r="O101" s="182">
        <v>300</v>
      </c>
      <c r="P101" s="182">
        <v>0</v>
      </c>
      <c r="Q101" s="182">
        <v>300</v>
      </c>
      <c r="R101" s="182"/>
      <c r="S101" s="182">
        <v>300</v>
      </c>
      <c r="T101" s="182"/>
      <c r="U101" s="182">
        <v>620</v>
      </c>
      <c r="V101" s="182"/>
      <c r="W101" s="182">
        <v>0</v>
      </c>
      <c r="X101" s="182"/>
      <c r="Y101" s="182">
        <v>0</v>
      </c>
      <c r="Z101" s="182"/>
      <c r="AA101" s="182">
        <v>0</v>
      </c>
      <c r="AB101" s="182"/>
      <c r="AC101" s="182">
        <v>0</v>
      </c>
      <c r="AD101" s="182"/>
      <c r="AE101" s="182">
        <v>0</v>
      </c>
      <c r="AF101" s="182"/>
      <c r="AG101" s="182">
        <v>0</v>
      </c>
      <c r="AH101" s="182"/>
      <c r="AI101" s="182">
        <v>0</v>
      </c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  <c r="AT101" s="182"/>
      <c r="AU101" s="182"/>
      <c r="AV101" s="182"/>
      <c r="AW101" s="182"/>
      <c r="AX101" s="182"/>
      <c r="AY101" s="182"/>
      <c r="AZ101" s="182"/>
      <c r="BA101" s="182"/>
      <c r="BB101" s="182"/>
    </row>
    <row r="102" spans="1:54" ht="15.75" customHeight="1">
      <c r="A102" s="182" t="s">
        <v>132</v>
      </c>
      <c r="B102" s="182" t="s">
        <v>106</v>
      </c>
      <c r="C102" s="182" t="s">
        <v>17</v>
      </c>
      <c r="D102" s="182"/>
      <c r="E102" s="182">
        <v>0</v>
      </c>
      <c r="F102" s="182">
        <v>0</v>
      </c>
      <c r="G102" s="182">
        <v>0</v>
      </c>
      <c r="H102" s="182">
        <v>0</v>
      </c>
      <c r="I102" s="182">
        <v>0</v>
      </c>
      <c r="J102" s="182">
        <v>0</v>
      </c>
      <c r="K102" s="182">
        <v>0</v>
      </c>
      <c r="L102" s="182">
        <v>0</v>
      </c>
      <c r="M102" s="182">
        <v>0</v>
      </c>
      <c r="N102" s="182">
        <v>0</v>
      </c>
      <c r="O102" s="182">
        <v>0</v>
      </c>
      <c r="P102" s="182">
        <v>0</v>
      </c>
      <c r="Q102" s="182">
        <v>0</v>
      </c>
      <c r="R102" s="182"/>
      <c r="S102" s="182">
        <v>0</v>
      </c>
      <c r="T102" s="182"/>
      <c r="U102" s="182">
        <v>0</v>
      </c>
      <c r="V102" s="182"/>
      <c r="W102" s="182">
        <v>0</v>
      </c>
      <c r="X102" s="182"/>
      <c r="Y102" s="182">
        <v>0</v>
      </c>
      <c r="Z102" s="182"/>
      <c r="AA102" s="182">
        <v>0</v>
      </c>
      <c r="AB102" s="182"/>
      <c r="AC102" s="182">
        <v>0</v>
      </c>
      <c r="AD102" s="182"/>
      <c r="AE102" s="182">
        <v>0</v>
      </c>
      <c r="AF102" s="182"/>
      <c r="AG102" s="182">
        <v>0</v>
      </c>
      <c r="AH102" s="182"/>
      <c r="AI102" s="182">
        <v>0</v>
      </c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  <c r="AT102" s="182"/>
      <c r="AU102" s="182"/>
      <c r="AV102" s="182"/>
      <c r="AW102" s="182"/>
      <c r="AX102" s="182"/>
      <c r="AY102" s="182"/>
      <c r="AZ102" s="182"/>
      <c r="BA102" s="182"/>
      <c r="BB102" s="182"/>
    </row>
    <row r="103" spans="1:54" ht="15.75" customHeight="1">
      <c r="A103" s="182" t="s">
        <v>132</v>
      </c>
      <c r="B103" s="182" t="s">
        <v>106</v>
      </c>
      <c r="C103" s="182" t="s">
        <v>122</v>
      </c>
      <c r="D103" s="182"/>
      <c r="E103" s="182">
        <v>0</v>
      </c>
      <c r="F103" s="182" t="s">
        <v>123</v>
      </c>
      <c r="G103" s="182">
        <v>0</v>
      </c>
      <c r="H103" s="182" t="s">
        <v>123</v>
      </c>
      <c r="I103" s="182">
        <v>0</v>
      </c>
      <c r="J103" s="182" t="s">
        <v>123</v>
      </c>
      <c r="K103" s="182">
        <v>93</v>
      </c>
      <c r="L103" s="182" t="s">
        <v>123</v>
      </c>
      <c r="M103" s="182">
        <v>0</v>
      </c>
      <c r="N103" s="182" t="s">
        <v>123</v>
      </c>
      <c r="O103" s="182">
        <v>0</v>
      </c>
      <c r="P103" s="182" t="s">
        <v>123</v>
      </c>
      <c r="Q103" s="182">
        <v>0</v>
      </c>
      <c r="R103" s="182"/>
      <c r="S103" s="182">
        <v>0</v>
      </c>
      <c r="T103" s="182"/>
      <c r="U103" s="182">
        <v>0</v>
      </c>
      <c r="V103" s="182"/>
      <c r="W103" s="182">
        <v>0</v>
      </c>
      <c r="X103" s="182"/>
      <c r="Y103" s="182">
        <v>0</v>
      </c>
      <c r="Z103" s="182"/>
      <c r="AA103" s="182">
        <v>0</v>
      </c>
      <c r="AB103" s="182"/>
      <c r="AC103" s="182">
        <v>0</v>
      </c>
      <c r="AD103" s="182"/>
      <c r="AE103" s="182">
        <v>0</v>
      </c>
      <c r="AF103" s="182"/>
      <c r="AG103" s="182">
        <v>0</v>
      </c>
      <c r="AH103" s="182"/>
      <c r="AI103" s="182">
        <v>0</v>
      </c>
      <c r="AJ103" s="182"/>
      <c r="AK103" s="182"/>
      <c r="AL103" s="182"/>
      <c r="AM103" s="182"/>
      <c r="AN103" s="182"/>
      <c r="AO103" s="182"/>
      <c r="AP103" s="182"/>
      <c r="AQ103" s="182"/>
      <c r="AR103" s="182"/>
      <c r="AS103" s="182"/>
      <c r="AT103" s="182"/>
      <c r="AU103" s="182"/>
      <c r="AV103" s="182"/>
      <c r="AW103" s="182"/>
      <c r="AX103" s="182"/>
      <c r="AY103" s="182"/>
      <c r="AZ103" s="182"/>
      <c r="BA103" s="182"/>
      <c r="BB103" s="182"/>
    </row>
    <row r="104" spans="1:54" ht="15.75" customHeight="1">
      <c r="A104" s="182" t="s">
        <v>132</v>
      </c>
      <c r="B104" s="182" t="s">
        <v>107</v>
      </c>
      <c r="C104" s="182" t="s">
        <v>121</v>
      </c>
      <c r="D104" s="182"/>
      <c r="E104" s="182">
        <v>959</v>
      </c>
      <c r="F104" s="182">
        <v>2217</v>
      </c>
      <c r="G104" s="182">
        <v>1441</v>
      </c>
      <c r="H104" s="182">
        <v>1942</v>
      </c>
      <c r="I104" s="182">
        <v>1957</v>
      </c>
      <c r="J104" s="182">
        <v>861</v>
      </c>
      <c r="K104" s="182">
        <v>1684</v>
      </c>
      <c r="L104" s="182">
        <v>734</v>
      </c>
      <c r="M104" s="182">
        <v>428</v>
      </c>
      <c r="N104" s="182">
        <v>42</v>
      </c>
      <c r="O104" s="182">
        <v>236</v>
      </c>
      <c r="P104" s="182">
        <v>41</v>
      </c>
      <c r="Q104" s="182">
        <v>1065</v>
      </c>
      <c r="R104" s="182"/>
      <c r="S104" s="182">
        <v>1813</v>
      </c>
      <c r="T104" s="182"/>
      <c r="U104" s="182">
        <v>1813</v>
      </c>
      <c r="V104" s="182"/>
      <c r="W104" s="182">
        <v>1813</v>
      </c>
      <c r="X104" s="182"/>
      <c r="Y104" s="182">
        <v>1246</v>
      </c>
      <c r="Z104" s="182"/>
      <c r="AA104" s="182">
        <v>0</v>
      </c>
      <c r="AB104" s="182"/>
      <c r="AC104" s="182">
        <v>0</v>
      </c>
      <c r="AD104" s="182"/>
      <c r="AE104" s="182">
        <v>0</v>
      </c>
      <c r="AF104" s="182"/>
      <c r="AG104" s="182">
        <v>0</v>
      </c>
      <c r="AH104" s="182"/>
      <c r="AI104" s="182">
        <v>0</v>
      </c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2"/>
      <c r="AU104" s="182"/>
      <c r="AV104" s="182"/>
      <c r="AW104" s="182"/>
      <c r="AX104" s="182"/>
      <c r="AY104" s="182"/>
      <c r="AZ104" s="182"/>
      <c r="BA104" s="182"/>
      <c r="BB104" s="182"/>
    </row>
    <row r="105" spans="1:54" ht="15.75" customHeight="1">
      <c r="A105" s="182" t="s">
        <v>132</v>
      </c>
      <c r="B105" s="182" t="s">
        <v>107</v>
      </c>
      <c r="C105" s="182" t="s">
        <v>28</v>
      </c>
      <c r="D105" s="182"/>
      <c r="E105" s="182">
        <v>0</v>
      </c>
      <c r="F105" s="182">
        <v>0</v>
      </c>
      <c r="G105" s="182">
        <v>0</v>
      </c>
      <c r="H105" s="182">
        <v>0</v>
      </c>
      <c r="I105" s="182">
        <v>403</v>
      </c>
      <c r="J105" s="182">
        <v>0</v>
      </c>
      <c r="K105" s="182">
        <v>403</v>
      </c>
      <c r="L105" s="182">
        <v>572</v>
      </c>
      <c r="M105" s="182">
        <v>806</v>
      </c>
      <c r="N105" s="182">
        <v>13</v>
      </c>
      <c r="O105" s="182">
        <v>210</v>
      </c>
      <c r="P105" s="182">
        <v>0</v>
      </c>
      <c r="Q105" s="182">
        <v>209</v>
      </c>
      <c r="R105" s="182"/>
      <c r="S105" s="182">
        <v>209</v>
      </c>
      <c r="T105" s="182"/>
      <c r="U105" s="182">
        <v>0</v>
      </c>
      <c r="V105" s="182"/>
      <c r="W105" s="182">
        <v>0</v>
      </c>
      <c r="X105" s="182"/>
      <c r="Y105" s="182">
        <v>0</v>
      </c>
      <c r="Z105" s="182"/>
      <c r="AA105" s="182">
        <v>0</v>
      </c>
      <c r="AB105" s="182"/>
      <c r="AC105" s="182">
        <v>0</v>
      </c>
      <c r="AD105" s="182"/>
      <c r="AE105" s="182">
        <v>0</v>
      </c>
      <c r="AF105" s="182"/>
      <c r="AG105" s="182">
        <v>0</v>
      </c>
      <c r="AH105" s="182"/>
      <c r="AI105" s="182">
        <v>0</v>
      </c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  <c r="AT105" s="182"/>
      <c r="AU105" s="182"/>
      <c r="AV105" s="182"/>
      <c r="AW105" s="182"/>
      <c r="AX105" s="182"/>
      <c r="AY105" s="182"/>
      <c r="AZ105" s="182"/>
      <c r="BA105" s="182"/>
      <c r="BB105" s="182"/>
    </row>
    <row r="106" spans="1:54" ht="15.75" customHeight="1">
      <c r="A106" s="182" t="s">
        <v>132</v>
      </c>
      <c r="B106" s="182" t="s">
        <v>107</v>
      </c>
      <c r="C106" s="182" t="s">
        <v>16</v>
      </c>
      <c r="D106" s="182"/>
      <c r="E106" s="182">
        <v>0</v>
      </c>
      <c r="F106" s="182">
        <v>0</v>
      </c>
      <c r="G106" s="182">
        <v>0</v>
      </c>
      <c r="H106" s="182">
        <v>0</v>
      </c>
      <c r="I106" s="182">
        <v>680</v>
      </c>
      <c r="J106" s="182">
        <v>0</v>
      </c>
      <c r="K106" s="182">
        <v>680</v>
      </c>
      <c r="L106" s="182">
        <v>591</v>
      </c>
      <c r="M106" s="182">
        <v>0</v>
      </c>
      <c r="N106" s="182">
        <v>13</v>
      </c>
      <c r="O106" s="182">
        <v>0</v>
      </c>
      <c r="P106" s="182">
        <v>0</v>
      </c>
      <c r="Q106" s="182">
        <v>680</v>
      </c>
      <c r="R106" s="182"/>
      <c r="S106" s="182">
        <v>680</v>
      </c>
      <c r="T106" s="182"/>
      <c r="U106" s="182">
        <v>0</v>
      </c>
      <c r="V106" s="182"/>
      <c r="W106" s="182">
        <v>0</v>
      </c>
      <c r="X106" s="182"/>
      <c r="Y106" s="182">
        <v>0</v>
      </c>
      <c r="Z106" s="182"/>
      <c r="AA106" s="182">
        <v>0</v>
      </c>
      <c r="AB106" s="182"/>
      <c r="AC106" s="182">
        <v>0</v>
      </c>
      <c r="AD106" s="182"/>
      <c r="AE106" s="182">
        <v>0</v>
      </c>
      <c r="AF106" s="182"/>
      <c r="AG106" s="182">
        <v>0</v>
      </c>
      <c r="AH106" s="182"/>
      <c r="AI106" s="182">
        <v>0</v>
      </c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  <c r="BB106" s="182"/>
    </row>
    <row r="107" spans="1:54" ht="15.75" customHeight="1">
      <c r="A107" s="182" t="s">
        <v>132</v>
      </c>
      <c r="B107" s="182" t="s">
        <v>107</v>
      </c>
      <c r="C107" s="182" t="s">
        <v>17</v>
      </c>
      <c r="D107" s="182"/>
      <c r="E107" s="182">
        <v>0</v>
      </c>
      <c r="F107" s="182">
        <v>0</v>
      </c>
      <c r="G107" s="182">
        <v>0</v>
      </c>
      <c r="H107" s="182">
        <v>0</v>
      </c>
      <c r="I107" s="182">
        <v>0</v>
      </c>
      <c r="J107" s="182">
        <v>0</v>
      </c>
      <c r="K107" s="182">
        <v>0</v>
      </c>
      <c r="L107" s="182">
        <v>0</v>
      </c>
      <c r="M107" s="182">
        <v>0</v>
      </c>
      <c r="N107" s="182">
        <v>0</v>
      </c>
      <c r="O107" s="182">
        <v>0</v>
      </c>
      <c r="P107" s="182">
        <v>0</v>
      </c>
      <c r="Q107" s="182">
        <v>0</v>
      </c>
      <c r="R107" s="182"/>
      <c r="S107" s="182">
        <v>0</v>
      </c>
      <c r="T107" s="182"/>
      <c r="U107" s="182">
        <v>0</v>
      </c>
      <c r="V107" s="182"/>
      <c r="W107" s="182">
        <v>0</v>
      </c>
      <c r="X107" s="182"/>
      <c r="Y107" s="182">
        <v>0</v>
      </c>
      <c r="Z107" s="182"/>
      <c r="AA107" s="182">
        <v>0</v>
      </c>
      <c r="AB107" s="182"/>
      <c r="AC107" s="182">
        <v>0</v>
      </c>
      <c r="AD107" s="182"/>
      <c r="AE107" s="182">
        <v>0</v>
      </c>
      <c r="AF107" s="182"/>
      <c r="AG107" s="182">
        <v>0</v>
      </c>
      <c r="AH107" s="182"/>
      <c r="AI107" s="182">
        <v>0</v>
      </c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  <c r="AT107" s="182"/>
      <c r="AU107" s="182"/>
      <c r="AV107" s="182"/>
      <c r="AW107" s="182"/>
      <c r="AX107" s="182"/>
      <c r="AY107" s="182"/>
      <c r="AZ107" s="182"/>
      <c r="BA107" s="182"/>
      <c r="BB107" s="182"/>
    </row>
    <row r="108" spans="1:54" ht="15.75" customHeight="1">
      <c r="A108" s="182" t="s">
        <v>132</v>
      </c>
      <c r="B108" s="182" t="s">
        <v>107</v>
      </c>
      <c r="C108" s="182" t="s">
        <v>122</v>
      </c>
      <c r="D108" s="182"/>
      <c r="E108" s="182">
        <v>0</v>
      </c>
      <c r="F108" s="182" t="s">
        <v>123</v>
      </c>
      <c r="G108" s="182">
        <v>0</v>
      </c>
      <c r="H108" s="182" t="s">
        <v>123</v>
      </c>
      <c r="I108" s="182">
        <v>0</v>
      </c>
      <c r="J108" s="182" t="s">
        <v>123</v>
      </c>
      <c r="K108" s="182">
        <v>3</v>
      </c>
      <c r="L108" s="182" t="s">
        <v>123</v>
      </c>
      <c r="M108" s="182">
        <v>0</v>
      </c>
      <c r="N108" s="182" t="s">
        <v>123</v>
      </c>
      <c r="O108" s="182">
        <v>0</v>
      </c>
      <c r="P108" s="182" t="s">
        <v>123</v>
      </c>
      <c r="Q108" s="182">
        <v>0</v>
      </c>
      <c r="R108" s="182"/>
      <c r="S108" s="182">
        <v>0</v>
      </c>
      <c r="T108" s="182"/>
      <c r="U108" s="182">
        <v>0</v>
      </c>
      <c r="V108" s="182"/>
      <c r="W108" s="182">
        <v>0</v>
      </c>
      <c r="X108" s="182"/>
      <c r="Y108" s="182">
        <v>0</v>
      </c>
      <c r="Z108" s="182"/>
      <c r="AA108" s="182">
        <v>0</v>
      </c>
      <c r="AB108" s="182"/>
      <c r="AC108" s="182">
        <v>0</v>
      </c>
      <c r="AD108" s="182"/>
      <c r="AE108" s="182">
        <v>0</v>
      </c>
      <c r="AF108" s="182"/>
      <c r="AG108" s="182">
        <v>0</v>
      </c>
      <c r="AH108" s="182"/>
      <c r="AI108" s="182">
        <v>0</v>
      </c>
      <c r="AJ108" s="182"/>
      <c r="AK108" s="182"/>
      <c r="AL108" s="182"/>
      <c r="AM108" s="182"/>
      <c r="AN108" s="182"/>
      <c r="AO108" s="182"/>
      <c r="AP108" s="182"/>
      <c r="AQ108" s="182"/>
      <c r="AR108" s="182"/>
      <c r="AS108" s="182"/>
      <c r="AT108" s="182"/>
      <c r="AU108" s="182"/>
      <c r="AV108" s="182"/>
      <c r="AW108" s="182"/>
      <c r="AX108" s="182"/>
      <c r="AY108" s="182"/>
      <c r="AZ108" s="182"/>
      <c r="BA108" s="182"/>
      <c r="BB108" s="182"/>
    </row>
    <row r="109" spans="1:54" ht="15.75" customHeight="1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82"/>
      <c r="AQ109" s="182"/>
      <c r="AR109" s="182"/>
      <c r="AS109" s="182"/>
      <c r="AT109" s="182"/>
      <c r="AU109" s="182"/>
      <c r="AV109" s="182"/>
      <c r="AW109" s="182"/>
      <c r="AX109" s="182"/>
      <c r="AY109" s="182"/>
      <c r="AZ109" s="182"/>
      <c r="BA109" s="182"/>
      <c r="BB109" s="182"/>
    </row>
    <row r="110" spans="1:54" ht="15.75" customHeight="1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  <c r="AM110" s="182"/>
      <c r="AN110" s="182"/>
      <c r="AO110" s="182"/>
      <c r="AP110" s="182"/>
      <c r="AQ110" s="182"/>
      <c r="AR110" s="182"/>
      <c r="AS110" s="182"/>
      <c r="AT110" s="182"/>
      <c r="AU110" s="182"/>
      <c r="AV110" s="182"/>
      <c r="AW110" s="182"/>
      <c r="AX110" s="182"/>
      <c r="AY110" s="182"/>
      <c r="AZ110" s="182"/>
      <c r="BA110" s="182"/>
      <c r="BB110" s="182"/>
    </row>
    <row r="111" spans="1:54" ht="15.75" customHeight="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  <c r="AT111" s="182"/>
      <c r="AU111" s="182"/>
      <c r="AV111" s="182"/>
      <c r="AW111" s="182"/>
      <c r="AX111" s="182"/>
      <c r="AY111" s="182"/>
      <c r="AZ111" s="182"/>
      <c r="BA111" s="182"/>
      <c r="BB111" s="182"/>
    </row>
    <row r="112" spans="1:54" ht="15.75" customHeight="1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  <c r="AM112" s="182"/>
      <c r="AN112" s="182"/>
      <c r="AO112" s="182"/>
      <c r="AP112" s="182"/>
      <c r="AQ112" s="182"/>
      <c r="AR112" s="182"/>
      <c r="AS112" s="182"/>
      <c r="AT112" s="182"/>
      <c r="AU112" s="182"/>
      <c r="AV112" s="182"/>
      <c r="AW112" s="182"/>
      <c r="AX112" s="182"/>
      <c r="AY112" s="182"/>
      <c r="AZ112" s="182"/>
      <c r="BA112" s="182"/>
      <c r="BB112" s="182"/>
    </row>
    <row r="113" spans="1:54" ht="15.75" customHeight="1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  <c r="AP113" s="182"/>
      <c r="AQ113" s="182"/>
      <c r="AR113" s="182"/>
      <c r="AS113" s="182"/>
      <c r="AT113" s="182"/>
      <c r="AU113" s="182"/>
      <c r="AV113" s="182"/>
      <c r="AW113" s="182"/>
      <c r="AX113" s="182"/>
      <c r="AY113" s="182"/>
      <c r="AZ113" s="182"/>
      <c r="BA113" s="182"/>
      <c r="BB113" s="182"/>
    </row>
    <row r="114" spans="1:54" ht="15.75" customHeight="1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  <c r="AM114" s="182"/>
      <c r="AN114" s="182"/>
      <c r="AO114" s="182"/>
      <c r="AP114" s="182"/>
      <c r="AQ114" s="182"/>
      <c r="AR114" s="182"/>
      <c r="AS114" s="182"/>
      <c r="AT114" s="182"/>
      <c r="AU114" s="182"/>
      <c r="AV114" s="182"/>
      <c r="AW114" s="182"/>
      <c r="AX114" s="182"/>
      <c r="AY114" s="182"/>
      <c r="AZ114" s="182"/>
      <c r="BA114" s="182"/>
      <c r="BB114" s="182"/>
    </row>
    <row r="115" spans="1:54" ht="15.75" customHeight="1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  <c r="AM115" s="182"/>
      <c r="AN115" s="182"/>
      <c r="AO115" s="182"/>
      <c r="AP115" s="182"/>
      <c r="AQ115" s="182"/>
      <c r="AR115" s="182"/>
      <c r="AS115" s="182"/>
      <c r="AT115" s="182"/>
      <c r="AU115" s="182"/>
      <c r="AV115" s="182"/>
      <c r="AW115" s="182"/>
      <c r="AX115" s="182"/>
      <c r="AY115" s="182"/>
      <c r="AZ115" s="182"/>
      <c r="BA115" s="182"/>
      <c r="BB115" s="182"/>
    </row>
    <row r="116" spans="1:54" ht="15.75" customHeight="1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  <c r="AM116" s="182"/>
      <c r="AN116" s="182"/>
      <c r="AO116" s="182"/>
      <c r="AP116" s="182"/>
      <c r="AQ116" s="182"/>
      <c r="AR116" s="182"/>
      <c r="AS116" s="182"/>
      <c r="AT116" s="182"/>
      <c r="AU116" s="182"/>
      <c r="AV116" s="182"/>
      <c r="AW116" s="182"/>
      <c r="AX116" s="182"/>
      <c r="AY116" s="182"/>
      <c r="AZ116" s="182"/>
      <c r="BA116" s="182"/>
      <c r="BB116" s="182"/>
    </row>
    <row r="117" spans="1:54" ht="15.75" customHeight="1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  <c r="AP117" s="182"/>
      <c r="AQ117" s="182"/>
      <c r="AR117" s="182"/>
      <c r="AS117" s="182"/>
      <c r="AT117" s="182"/>
      <c r="AU117" s="182"/>
      <c r="AV117" s="182"/>
      <c r="AW117" s="182"/>
      <c r="AX117" s="182"/>
      <c r="AY117" s="182"/>
      <c r="AZ117" s="182"/>
      <c r="BA117" s="182"/>
      <c r="BB117" s="182"/>
    </row>
    <row r="118" spans="1:54" ht="15.75" customHeight="1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2"/>
      <c r="AR118" s="182"/>
      <c r="AS118" s="182"/>
      <c r="AT118" s="182"/>
      <c r="AU118" s="182"/>
      <c r="AV118" s="182"/>
      <c r="AW118" s="182"/>
      <c r="AX118" s="182"/>
      <c r="AY118" s="182"/>
      <c r="AZ118" s="182"/>
      <c r="BA118" s="182"/>
      <c r="BB118" s="182"/>
    </row>
    <row r="119" spans="1:54" ht="15.75" customHeight="1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  <c r="AM119" s="182"/>
      <c r="AN119" s="182"/>
      <c r="AO119" s="182"/>
      <c r="AP119" s="182"/>
      <c r="AQ119" s="182"/>
      <c r="AR119" s="182"/>
      <c r="AS119" s="182"/>
      <c r="AT119" s="182"/>
      <c r="AU119" s="182"/>
      <c r="AV119" s="182"/>
      <c r="AW119" s="182"/>
      <c r="AX119" s="182"/>
      <c r="AY119" s="182"/>
      <c r="AZ119" s="182"/>
      <c r="BA119" s="182"/>
      <c r="BB119" s="182"/>
    </row>
    <row r="120" spans="1:54" ht="15.75" customHeight="1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  <c r="AM120" s="182"/>
      <c r="AN120" s="182"/>
      <c r="AO120" s="182"/>
      <c r="AP120" s="182"/>
      <c r="AQ120" s="182"/>
      <c r="AR120" s="182"/>
      <c r="AS120" s="182"/>
      <c r="AT120" s="182"/>
      <c r="AU120" s="182"/>
      <c r="AV120" s="182"/>
      <c r="AW120" s="182"/>
      <c r="AX120" s="182"/>
      <c r="AY120" s="182"/>
      <c r="AZ120" s="182"/>
      <c r="BA120" s="182"/>
      <c r="BB120" s="182"/>
    </row>
    <row r="121" spans="1:54" ht="15.75" customHeight="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82"/>
      <c r="AM121" s="182"/>
      <c r="AN121" s="182"/>
      <c r="AO121" s="182"/>
      <c r="AP121" s="182"/>
      <c r="AQ121" s="182"/>
      <c r="AR121" s="182"/>
      <c r="AS121" s="182"/>
      <c r="AT121" s="182"/>
      <c r="AU121" s="182"/>
      <c r="AV121" s="182"/>
      <c r="AW121" s="182"/>
      <c r="AX121" s="182"/>
      <c r="AY121" s="182"/>
      <c r="AZ121" s="182"/>
      <c r="BA121" s="182"/>
      <c r="BB121" s="182"/>
    </row>
    <row r="122" spans="1:54" ht="15.75" customHeight="1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2"/>
      <c r="AK122" s="182"/>
      <c r="AL122" s="182"/>
      <c r="AM122" s="182"/>
      <c r="AN122" s="182"/>
      <c r="AO122" s="182"/>
      <c r="AP122" s="182"/>
      <c r="AQ122" s="182"/>
      <c r="AR122" s="182"/>
      <c r="AS122" s="182"/>
      <c r="AT122" s="182"/>
      <c r="AU122" s="182"/>
      <c r="AV122" s="182"/>
      <c r="AW122" s="182"/>
      <c r="AX122" s="182"/>
      <c r="AY122" s="182"/>
      <c r="AZ122" s="182"/>
      <c r="BA122" s="182"/>
      <c r="BB122" s="182"/>
    </row>
    <row r="123" spans="1:54" ht="15.75" customHeight="1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2"/>
      <c r="AM123" s="182"/>
      <c r="AN123" s="182"/>
      <c r="AO123" s="182"/>
      <c r="AP123" s="182"/>
      <c r="AQ123" s="182"/>
      <c r="AR123" s="182"/>
      <c r="AS123" s="182"/>
      <c r="AT123" s="182"/>
      <c r="AU123" s="182"/>
      <c r="AV123" s="182"/>
      <c r="AW123" s="182"/>
      <c r="AX123" s="182"/>
      <c r="AY123" s="182"/>
      <c r="AZ123" s="182"/>
      <c r="BA123" s="182"/>
      <c r="BB123" s="182"/>
    </row>
    <row r="124" spans="1:54" ht="15.75" customHeight="1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2"/>
      <c r="AK124" s="182"/>
      <c r="AL124" s="182"/>
      <c r="AM124" s="182"/>
      <c r="AN124" s="182"/>
      <c r="AO124" s="182"/>
      <c r="AP124" s="182"/>
      <c r="AQ124" s="182"/>
      <c r="AR124" s="182"/>
      <c r="AS124" s="182"/>
      <c r="AT124" s="182"/>
      <c r="AU124" s="182"/>
      <c r="AV124" s="182"/>
      <c r="AW124" s="182"/>
      <c r="AX124" s="182"/>
      <c r="AY124" s="182"/>
      <c r="AZ124" s="182"/>
      <c r="BA124" s="182"/>
      <c r="BB124" s="182"/>
    </row>
    <row r="125" spans="1:54" ht="15.75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82"/>
      <c r="AM125" s="182"/>
      <c r="AN125" s="182"/>
      <c r="AO125" s="182"/>
      <c r="AP125" s="182"/>
      <c r="AQ125" s="182"/>
      <c r="AR125" s="182"/>
      <c r="AS125" s="182"/>
      <c r="AT125" s="182"/>
      <c r="AU125" s="182"/>
      <c r="AV125" s="182"/>
      <c r="AW125" s="182"/>
      <c r="AX125" s="182"/>
      <c r="AY125" s="182"/>
      <c r="AZ125" s="182"/>
      <c r="BA125" s="182"/>
      <c r="BB125" s="182"/>
    </row>
    <row r="126" spans="1:54" ht="15.75" customHeight="1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  <c r="AM126" s="182"/>
      <c r="AN126" s="182"/>
      <c r="AO126" s="182"/>
      <c r="AP126" s="182"/>
      <c r="AQ126" s="182"/>
      <c r="AR126" s="182"/>
      <c r="AS126" s="182"/>
      <c r="AT126" s="182"/>
      <c r="AU126" s="182"/>
      <c r="AV126" s="182"/>
      <c r="AW126" s="182"/>
      <c r="AX126" s="182"/>
      <c r="AY126" s="182"/>
      <c r="AZ126" s="182"/>
      <c r="BA126" s="182"/>
      <c r="BB126" s="182"/>
    </row>
    <row r="127" spans="1:54" ht="15.75" customHeight="1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  <c r="AM127" s="182"/>
      <c r="AN127" s="182"/>
      <c r="AO127" s="182"/>
      <c r="AP127" s="182"/>
      <c r="AQ127" s="182"/>
      <c r="AR127" s="182"/>
      <c r="AS127" s="182"/>
      <c r="AT127" s="182"/>
      <c r="AU127" s="182"/>
      <c r="AV127" s="182"/>
      <c r="AW127" s="182"/>
      <c r="AX127" s="182"/>
      <c r="AY127" s="182"/>
      <c r="AZ127" s="182"/>
      <c r="BA127" s="182"/>
      <c r="BB127" s="182"/>
    </row>
    <row r="128" spans="1:54" ht="15.75" customHeight="1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2"/>
      <c r="AK128" s="182"/>
      <c r="AL128" s="182"/>
      <c r="AM128" s="182"/>
      <c r="AN128" s="182"/>
      <c r="AO128" s="182"/>
      <c r="AP128" s="182"/>
      <c r="AQ128" s="182"/>
      <c r="AR128" s="182"/>
      <c r="AS128" s="182"/>
      <c r="AT128" s="182"/>
      <c r="AU128" s="182"/>
      <c r="AV128" s="182"/>
      <c r="AW128" s="182"/>
      <c r="AX128" s="182"/>
      <c r="AY128" s="182"/>
      <c r="AZ128" s="182"/>
      <c r="BA128" s="182"/>
      <c r="BB128" s="182"/>
    </row>
    <row r="129" spans="1:54" ht="15.75" customHeight="1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82"/>
      <c r="AM129" s="182"/>
      <c r="AN129" s="182"/>
      <c r="AO129" s="182"/>
      <c r="AP129" s="182"/>
      <c r="AQ129" s="182"/>
      <c r="AR129" s="182"/>
      <c r="AS129" s="182"/>
      <c r="AT129" s="182"/>
      <c r="AU129" s="182"/>
      <c r="AV129" s="182"/>
      <c r="AW129" s="182"/>
      <c r="AX129" s="182"/>
      <c r="AY129" s="182"/>
      <c r="AZ129" s="182"/>
      <c r="BA129" s="182"/>
      <c r="BB129" s="182"/>
    </row>
    <row r="130" spans="1:54" ht="15.75" customHeight="1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182"/>
      <c r="AI130" s="182"/>
      <c r="AJ130" s="182"/>
      <c r="AK130" s="182"/>
      <c r="AL130" s="182"/>
      <c r="AM130" s="182"/>
      <c r="AN130" s="182"/>
      <c r="AO130" s="182"/>
      <c r="AP130" s="182"/>
      <c r="AQ130" s="182"/>
      <c r="AR130" s="182"/>
      <c r="AS130" s="182"/>
      <c r="AT130" s="182"/>
      <c r="AU130" s="182"/>
      <c r="AV130" s="182"/>
      <c r="AW130" s="182"/>
      <c r="AX130" s="182"/>
      <c r="AY130" s="182"/>
      <c r="AZ130" s="182"/>
      <c r="BA130" s="182"/>
      <c r="BB130" s="182"/>
    </row>
    <row r="131" spans="1:54" ht="15.75" customHeight="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2"/>
      <c r="AK131" s="182"/>
      <c r="AL131" s="182"/>
      <c r="AM131" s="182"/>
      <c r="AN131" s="182"/>
      <c r="AO131" s="182"/>
      <c r="AP131" s="182"/>
      <c r="AQ131" s="182"/>
      <c r="AR131" s="182"/>
      <c r="AS131" s="182"/>
      <c r="AT131" s="182"/>
      <c r="AU131" s="182"/>
      <c r="AV131" s="182"/>
      <c r="AW131" s="182"/>
      <c r="AX131" s="182"/>
      <c r="AY131" s="182"/>
      <c r="AZ131" s="182"/>
      <c r="BA131" s="182"/>
      <c r="BB131" s="182"/>
    </row>
    <row r="132" spans="1:54" ht="15.75" customHeight="1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2"/>
      <c r="AK132" s="182"/>
      <c r="AL132" s="182"/>
      <c r="AM132" s="182"/>
      <c r="AN132" s="182"/>
      <c r="AO132" s="182"/>
      <c r="AP132" s="182"/>
      <c r="AQ132" s="182"/>
      <c r="AR132" s="182"/>
      <c r="AS132" s="182"/>
      <c r="AT132" s="182"/>
      <c r="AU132" s="182"/>
      <c r="AV132" s="182"/>
      <c r="AW132" s="182"/>
      <c r="AX132" s="182"/>
      <c r="AY132" s="182"/>
      <c r="AZ132" s="182"/>
      <c r="BA132" s="182"/>
      <c r="BB132" s="182"/>
    </row>
    <row r="133" spans="1:54" ht="15.75" customHeight="1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82"/>
      <c r="AM133" s="182"/>
      <c r="AN133" s="182"/>
      <c r="AO133" s="182"/>
      <c r="AP133" s="182"/>
      <c r="AQ133" s="182"/>
      <c r="AR133" s="182"/>
      <c r="AS133" s="182"/>
      <c r="AT133" s="182"/>
      <c r="AU133" s="182"/>
      <c r="AV133" s="182"/>
      <c r="AW133" s="182"/>
      <c r="AX133" s="182"/>
      <c r="AY133" s="182"/>
      <c r="AZ133" s="182"/>
      <c r="BA133" s="182"/>
      <c r="BB133" s="182"/>
    </row>
    <row r="134" spans="1:54" ht="15.75" customHeight="1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82"/>
      <c r="AM134" s="182"/>
      <c r="AN134" s="182"/>
      <c r="AO134" s="182"/>
      <c r="AP134" s="182"/>
      <c r="AQ134" s="182"/>
      <c r="AR134" s="182"/>
      <c r="AS134" s="182"/>
      <c r="AT134" s="182"/>
      <c r="AU134" s="182"/>
      <c r="AV134" s="182"/>
      <c r="AW134" s="182"/>
      <c r="AX134" s="182"/>
      <c r="AY134" s="182"/>
      <c r="AZ134" s="182"/>
      <c r="BA134" s="182"/>
      <c r="BB134" s="182"/>
    </row>
    <row r="135" spans="1:54" ht="15.75" customHeight="1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  <c r="AH135" s="182"/>
      <c r="AI135" s="182"/>
      <c r="AJ135" s="182"/>
      <c r="AK135" s="182"/>
      <c r="AL135" s="182"/>
      <c r="AM135" s="182"/>
      <c r="AN135" s="182"/>
      <c r="AO135" s="182"/>
      <c r="AP135" s="182"/>
      <c r="AQ135" s="182"/>
      <c r="AR135" s="182"/>
      <c r="AS135" s="182"/>
      <c r="AT135" s="182"/>
      <c r="AU135" s="182"/>
      <c r="AV135" s="182"/>
      <c r="AW135" s="182"/>
      <c r="AX135" s="182"/>
      <c r="AY135" s="182"/>
      <c r="AZ135" s="182"/>
      <c r="BA135" s="182"/>
      <c r="BB135" s="182"/>
    </row>
    <row r="136" spans="1:54" ht="15.75" customHeight="1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/>
      <c r="AK136" s="182"/>
      <c r="AL136" s="182"/>
      <c r="AM136" s="182"/>
      <c r="AN136" s="182"/>
      <c r="AO136" s="182"/>
      <c r="AP136" s="182"/>
      <c r="AQ136" s="182"/>
      <c r="AR136" s="182"/>
      <c r="AS136" s="182"/>
      <c r="AT136" s="182"/>
      <c r="AU136" s="182"/>
      <c r="AV136" s="182"/>
      <c r="AW136" s="182"/>
      <c r="AX136" s="182"/>
      <c r="AY136" s="182"/>
      <c r="AZ136" s="182"/>
      <c r="BA136" s="182"/>
      <c r="BB136" s="182"/>
    </row>
    <row r="137" spans="1:54" ht="15.75" customHeight="1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  <c r="AG137" s="182"/>
      <c r="AH137" s="182"/>
      <c r="AI137" s="182"/>
      <c r="AJ137" s="182"/>
      <c r="AK137" s="182"/>
      <c r="AL137" s="182"/>
      <c r="AM137" s="182"/>
      <c r="AN137" s="182"/>
      <c r="AO137" s="182"/>
      <c r="AP137" s="182"/>
      <c r="AQ137" s="182"/>
      <c r="AR137" s="182"/>
      <c r="AS137" s="182"/>
      <c r="AT137" s="182"/>
      <c r="AU137" s="182"/>
      <c r="AV137" s="182"/>
      <c r="AW137" s="182"/>
      <c r="AX137" s="182"/>
      <c r="AY137" s="182"/>
      <c r="AZ137" s="182"/>
      <c r="BA137" s="182"/>
      <c r="BB137" s="182"/>
    </row>
    <row r="138" spans="1:54" ht="15.75" customHeight="1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182"/>
      <c r="AM138" s="182"/>
      <c r="AN138" s="182"/>
      <c r="AO138" s="182"/>
      <c r="AP138" s="182"/>
      <c r="AQ138" s="182"/>
      <c r="AR138" s="182"/>
      <c r="AS138" s="182"/>
      <c r="AT138" s="182"/>
      <c r="AU138" s="182"/>
      <c r="AV138" s="182"/>
      <c r="AW138" s="182"/>
      <c r="AX138" s="182"/>
      <c r="AY138" s="182"/>
      <c r="AZ138" s="182"/>
      <c r="BA138" s="182"/>
      <c r="BB138" s="182"/>
    </row>
    <row r="139" spans="1:54" ht="15.75" customHeight="1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182"/>
      <c r="AM139" s="182"/>
      <c r="AN139" s="182"/>
      <c r="AO139" s="182"/>
      <c r="AP139" s="182"/>
      <c r="AQ139" s="182"/>
      <c r="AR139" s="182"/>
      <c r="AS139" s="182"/>
      <c r="AT139" s="182"/>
      <c r="AU139" s="182"/>
      <c r="AV139" s="182"/>
      <c r="AW139" s="182"/>
      <c r="AX139" s="182"/>
      <c r="AY139" s="182"/>
      <c r="AZ139" s="182"/>
      <c r="BA139" s="182"/>
      <c r="BB139" s="182"/>
    </row>
    <row r="140" spans="1:54" ht="15.75" customHeight="1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182"/>
      <c r="AM140" s="182"/>
      <c r="AN140" s="182"/>
      <c r="AO140" s="182"/>
      <c r="AP140" s="182"/>
      <c r="AQ140" s="182"/>
      <c r="AR140" s="182"/>
      <c r="AS140" s="182"/>
      <c r="AT140" s="182"/>
      <c r="AU140" s="182"/>
      <c r="AV140" s="182"/>
      <c r="AW140" s="182"/>
      <c r="AX140" s="182"/>
      <c r="AY140" s="182"/>
      <c r="AZ140" s="182"/>
      <c r="BA140" s="182"/>
      <c r="BB140" s="182"/>
    </row>
    <row r="141" spans="1:54" ht="15.75" customHeight="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182"/>
      <c r="AM141" s="182"/>
      <c r="AN141" s="182"/>
      <c r="AO141" s="182"/>
      <c r="AP141" s="182"/>
      <c r="AQ141" s="182"/>
      <c r="AR141" s="182"/>
      <c r="AS141" s="182"/>
      <c r="AT141" s="182"/>
      <c r="AU141" s="182"/>
      <c r="AV141" s="182"/>
      <c r="AW141" s="182"/>
      <c r="AX141" s="182"/>
      <c r="AY141" s="182"/>
      <c r="AZ141" s="182"/>
      <c r="BA141" s="182"/>
      <c r="BB141" s="182"/>
    </row>
    <row r="142" spans="1:54" ht="15.75" customHeight="1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  <c r="AC142" s="182"/>
      <c r="AD142" s="182"/>
      <c r="AE142" s="182"/>
      <c r="AF142" s="182"/>
      <c r="AG142" s="182"/>
      <c r="AH142" s="182"/>
      <c r="AI142" s="182"/>
      <c r="AJ142" s="182"/>
      <c r="AK142" s="182"/>
      <c r="AL142" s="182"/>
      <c r="AM142" s="182"/>
      <c r="AN142" s="182"/>
      <c r="AO142" s="182"/>
      <c r="AP142" s="182"/>
      <c r="AQ142" s="182"/>
      <c r="AR142" s="182"/>
      <c r="AS142" s="182"/>
      <c r="AT142" s="182"/>
      <c r="AU142" s="182"/>
      <c r="AV142" s="182"/>
      <c r="AW142" s="182"/>
      <c r="AX142" s="182"/>
      <c r="AY142" s="182"/>
      <c r="AZ142" s="182"/>
      <c r="BA142" s="182"/>
      <c r="BB142" s="182"/>
    </row>
    <row r="143" spans="1:54" ht="15.75" customHeight="1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82"/>
      <c r="AM143" s="182"/>
      <c r="AN143" s="182"/>
      <c r="AO143" s="182"/>
      <c r="AP143" s="182"/>
      <c r="AQ143" s="182"/>
      <c r="AR143" s="182"/>
      <c r="AS143" s="182"/>
      <c r="AT143" s="182"/>
      <c r="AU143" s="182"/>
      <c r="AV143" s="182"/>
      <c r="AW143" s="182"/>
      <c r="AX143" s="182"/>
      <c r="AY143" s="182"/>
      <c r="AZ143" s="182"/>
      <c r="BA143" s="182"/>
      <c r="BB143" s="182"/>
    </row>
    <row r="144" spans="1:54" ht="15.75" customHeight="1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  <c r="AH144" s="182"/>
      <c r="AI144" s="182"/>
      <c r="AJ144" s="182"/>
      <c r="AK144" s="182"/>
      <c r="AL144" s="182"/>
      <c r="AM144" s="182"/>
      <c r="AN144" s="182"/>
      <c r="AO144" s="182"/>
      <c r="AP144" s="182"/>
      <c r="AQ144" s="182"/>
      <c r="AR144" s="182"/>
      <c r="AS144" s="182"/>
      <c r="AT144" s="182"/>
      <c r="AU144" s="182"/>
      <c r="AV144" s="182"/>
      <c r="AW144" s="182"/>
      <c r="AX144" s="182"/>
      <c r="AY144" s="182"/>
      <c r="AZ144" s="182"/>
      <c r="BA144" s="182"/>
      <c r="BB144" s="182"/>
    </row>
    <row r="145" spans="1:54" ht="15.75" customHeight="1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82"/>
      <c r="AM145" s="182"/>
      <c r="AN145" s="182"/>
      <c r="AO145" s="182"/>
      <c r="AP145" s="182"/>
      <c r="AQ145" s="182"/>
      <c r="AR145" s="182"/>
      <c r="AS145" s="182"/>
      <c r="AT145" s="182"/>
      <c r="AU145" s="182"/>
      <c r="AV145" s="182"/>
      <c r="AW145" s="182"/>
      <c r="AX145" s="182"/>
      <c r="AY145" s="182"/>
      <c r="AZ145" s="182"/>
      <c r="BA145" s="182"/>
      <c r="BB145" s="182"/>
    </row>
    <row r="146" spans="1:54" ht="15.75" customHeight="1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182"/>
      <c r="AI146" s="182"/>
      <c r="AJ146" s="182"/>
      <c r="AK146" s="182"/>
      <c r="AL146" s="182"/>
      <c r="AM146" s="182"/>
      <c r="AN146" s="182"/>
      <c r="AO146" s="182"/>
      <c r="AP146" s="182"/>
      <c r="AQ146" s="182"/>
      <c r="AR146" s="182"/>
      <c r="AS146" s="182"/>
      <c r="AT146" s="182"/>
      <c r="AU146" s="182"/>
      <c r="AV146" s="182"/>
      <c r="AW146" s="182"/>
      <c r="AX146" s="182"/>
      <c r="AY146" s="182"/>
      <c r="AZ146" s="182"/>
      <c r="BA146" s="182"/>
      <c r="BB146" s="182"/>
    </row>
    <row r="147" spans="1:54" ht="15.75" customHeight="1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82"/>
      <c r="AM147" s="182"/>
      <c r="AN147" s="182"/>
      <c r="AO147" s="182"/>
      <c r="AP147" s="182"/>
      <c r="AQ147" s="182"/>
      <c r="AR147" s="182"/>
      <c r="AS147" s="182"/>
      <c r="AT147" s="182"/>
      <c r="AU147" s="182"/>
      <c r="AV147" s="182"/>
      <c r="AW147" s="182"/>
      <c r="AX147" s="182"/>
      <c r="AY147" s="182"/>
      <c r="AZ147" s="182"/>
      <c r="BA147" s="182"/>
      <c r="BB147" s="182"/>
    </row>
    <row r="148" spans="1:54" ht="15.75" customHeight="1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  <c r="AF148" s="182"/>
      <c r="AG148" s="182"/>
      <c r="AH148" s="182"/>
      <c r="AI148" s="182"/>
      <c r="AJ148" s="182"/>
      <c r="AK148" s="182"/>
      <c r="AL148" s="182"/>
      <c r="AM148" s="182"/>
      <c r="AN148" s="182"/>
      <c r="AO148" s="182"/>
      <c r="AP148" s="182"/>
      <c r="AQ148" s="182"/>
      <c r="AR148" s="182"/>
      <c r="AS148" s="182"/>
      <c r="AT148" s="182"/>
      <c r="AU148" s="182"/>
      <c r="AV148" s="182"/>
      <c r="AW148" s="182"/>
      <c r="AX148" s="182"/>
      <c r="AY148" s="182"/>
      <c r="AZ148" s="182"/>
      <c r="BA148" s="182"/>
      <c r="BB148" s="182"/>
    </row>
    <row r="149" spans="1:54" ht="15.75" customHeight="1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  <c r="AF149" s="182"/>
      <c r="AG149" s="182"/>
      <c r="AH149" s="182"/>
      <c r="AI149" s="182"/>
      <c r="AJ149" s="182"/>
      <c r="AK149" s="182"/>
      <c r="AL149" s="182"/>
      <c r="AM149" s="182"/>
      <c r="AN149" s="182"/>
      <c r="AO149" s="182"/>
      <c r="AP149" s="182"/>
      <c r="AQ149" s="182"/>
      <c r="AR149" s="182"/>
      <c r="AS149" s="182"/>
      <c r="AT149" s="182"/>
      <c r="AU149" s="182"/>
      <c r="AV149" s="182"/>
      <c r="AW149" s="182"/>
      <c r="AX149" s="182"/>
      <c r="AY149" s="182"/>
      <c r="AZ149" s="182"/>
      <c r="BA149" s="182"/>
      <c r="BB149" s="182"/>
    </row>
    <row r="150" spans="1:54" ht="15.75" customHeight="1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/>
      <c r="AK150" s="182"/>
      <c r="AL150" s="182"/>
      <c r="AM150" s="182"/>
      <c r="AN150" s="182"/>
      <c r="AO150" s="182"/>
      <c r="AP150" s="182"/>
      <c r="AQ150" s="182"/>
      <c r="AR150" s="182"/>
      <c r="AS150" s="182"/>
      <c r="AT150" s="182"/>
      <c r="AU150" s="182"/>
      <c r="AV150" s="182"/>
      <c r="AW150" s="182"/>
      <c r="AX150" s="182"/>
      <c r="AY150" s="182"/>
      <c r="AZ150" s="182"/>
      <c r="BA150" s="182"/>
      <c r="BB150" s="182"/>
    </row>
    <row r="151" spans="1:54" ht="15.75" customHeight="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82"/>
      <c r="AM151" s="182"/>
      <c r="AN151" s="182"/>
      <c r="AO151" s="182"/>
      <c r="AP151" s="182"/>
      <c r="AQ151" s="182"/>
      <c r="AR151" s="182"/>
      <c r="AS151" s="182"/>
      <c r="AT151" s="182"/>
      <c r="AU151" s="182"/>
      <c r="AV151" s="182"/>
      <c r="AW151" s="182"/>
      <c r="AX151" s="182"/>
      <c r="AY151" s="182"/>
      <c r="AZ151" s="182"/>
      <c r="BA151" s="182"/>
      <c r="BB151" s="182"/>
    </row>
    <row r="152" spans="1:54" ht="15.75" customHeight="1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  <c r="AG152" s="182"/>
      <c r="AH152" s="182"/>
      <c r="AI152" s="182"/>
      <c r="AJ152" s="182"/>
      <c r="AK152" s="182"/>
      <c r="AL152" s="182"/>
      <c r="AM152" s="182"/>
      <c r="AN152" s="182"/>
      <c r="AO152" s="182"/>
      <c r="AP152" s="182"/>
      <c r="AQ152" s="182"/>
      <c r="AR152" s="182"/>
      <c r="AS152" s="182"/>
      <c r="AT152" s="182"/>
      <c r="AU152" s="182"/>
      <c r="AV152" s="182"/>
      <c r="AW152" s="182"/>
      <c r="AX152" s="182"/>
      <c r="AY152" s="182"/>
      <c r="AZ152" s="182"/>
      <c r="BA152" s="182"/>
      <c r="BB152" s="182"/>
    </row>
    <row r="153" spans="1:54" ht="15.75" customHeight="1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82"/>
      <c r="AM153" s="182"/>
      <c r="AN153" s="182"/>
      <c r="AO153" s="182"/>
      <c r="AP153" s="182"/>
      <c r="AQ153" s="182"/>
      <c r="AR153" s="182"/>
      <c r="AS153" s="182"/>
      <c r="AT153" s="182"/>
      <c r="AU153" s="182"/>
      <c r="AV153" s="182"/>
      <c r="AW153" s="182"/>
      <c r="AX153" s="182"/>
      <c r="AY153" s="182"/>
      <c r="AZ153" s="182"/>
      <c r="BA153" s="182"/>
      <c r="BB153" s="182"/>
    </row>
    <row r="154" spans="1:54" ht="15.75" customHeight="1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  <c r="AC154" s="182"/>
      <c r="AD154" s="182"/>
      <c r="AE154" s="182"/>
      <c r="AF154" s="182"/>
      <c r="AG154" s="182"/>
      <c r="AH154" s="182"/>
      <c r="AI154" s="182"/>
      <c r="AJ154" s="182"/>
      <c r="AK154" s="182"/>
      <c r="AL154" s="182"/>
      <c r="AM154" s="182"/>
      <c r="AN154" s="182"/>
      <c r="AO154" s="182"/>
      <c r="AP154" s="182"/>
      <c r="AQ154" s="182"/>
      <c r="AR154" s="182"/>
      <c r="AS154" s="182"/>
      <c r="AT154" s="182"/>
      <c r="AU154" s="182"/>
      <c r="AV154" s="182"/>
      <c r="AW154" s="182"/>
      <c r="AX154" s="182"/>
      <c r="AY154" s="182"/>
      <c r="AZ154" s="182"/>
      <c r="BA154" s="182"/>
      <c r="BB154" s="182"/>
    </row>
    <row r="155" spans="1:54" ht="15.75" customHeight="1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  <c r="AC155" s="182"/>
      <c r="AD155" s="182"/>
      <c r="AE155" s="182"/>
      <c r="AF155" s="182"/>
      <c r="AG155" s="182"/>
      <c r="AH155" s="182"/>
      <c r="AI155" s="182"/>
      <c r="AJ155" s="182"/>
      <c r="AK155" s="182"/>
      <c r="AL155" s="182"/>
      <c r="AM155" s="182"/>
      <c r="AN155" s="182"/>
      <c r="AO155" s="182"/>
      <c r="AP155" s="182"/>
      <c r="AQ155" s="182"/>
      <c r="AR155" s="182"/>
      <c r="AS155" s="182"/>
      <c r="AT155" s="182"/>
      <c r="AU155" s="182"/>
      <c r="AV155" s="182"/>
      <c r="AW155" s="182"/>
      <c r="AX155" s="182"/>
      <c r="AY155" s="182"/>
      <c r="AZ155" s="182"/>
      <c r="BA155" s="182"/>
      <c r="BB155" s="182"/>
    </row>
    <row r="156" spans="1:54" ht="15.75" customHeight="1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82"/>
      <c r="AM156" s="182"/>
      <c r="AN156" s="182"/>
      <c r="AO156" s="182"/>
      <c r="AP156" s="182"/>
      <c r="AQ156" s="182"/>
      <c r="AR156" s="182"/>
      <c r="AS156" s="182"/>
      <c r="AT156" s="182"/>
      <c r="AU156" s="182"/>
      <c r="AV156" s="182"/>
      <c r="AW156" s="182"/>
      <c r="AX156" s="182"/>
      <c r="AY156" s="182"/>
      <c r="AZ156" s="182"/>
      <c r="BA156" s="182"/>
      <c r="BB156" s="182"/>
    </row>
    <row r="157" spans="1:54" ht="15.75" customHeight="1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82"/>
      <c r="AM157" s="182"/>
      <c r="AN157" s="182"/>
      <c r="AO157" s="182"/>
      <c r="AP157" s="182"/>
      <c r="AQ157" s="182"/>
      <c r="AR157" s="182"/>
      <c r="AS157" s="182"/>
      <c r="AT157" s="182"/>
      <c r="AU157" s="182"/>
      <c r="AV157" s="182"/>
      <c r="AW157" s="182"/>
      <c r="AX157" s="182"/>
      <c r="AY157" s="182"/>
      <c r="AZ157" s="182"/>
      <c r="BA157" s="182"/>
      <c r="BB157" s="182"/>
    </row>
    <row r="158" spans="1:54" ht="15.75" customHeight="1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2"/>
      <c r="AK158" s="182"/>
      <c r="AL158" s="182"/>
      <c r="AM158" s="182"/>
      <c r="AN158" s="182"/>
      <c r="AO158" s="182"/>
      <c r="AP158" s="182"/>
      <c r="AQ158" s="182"/>
      <c r="AR158" s="182"/>
      <c r="AS158" s="182"/>
      <c r="AT158" s="182"/>
      <c r="AU158" s="182"/>
      <c r="AV158" s="182"/>
      <c r="AW158" s="182"/>
      <c r="AX158" s="182"/>
      <c r="AY158" s="182"/>
      <c r="AZ158" s="182"/>
      <c r="BA158" s="182"/>
      <c r="BB158" s="182"/>
    </row>
    <row r="159" spans="1:54" ht="15.75" customHeight="1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82"/>
      <c r="AM159" s="182"/>
      <c r="AN159" s="182"/>
      <c r="AO159" s="182"/>
      <c r="AP159" s="182"/>
      <c r="AQ159" s="182"/>
      <c r="AR159" s="182"/>
      <c r="AS159" s="182"/>
      <c r="AT159" s="182"/>
      <c r="AU159" s="182"/>
      <c r="AV159" s="182"/>
      <c r="AW159" s="182"/>
      <c r="AX159" s="182"/>
      <c r="AY159" s="182"/>
      <c r="AZ159" s="182"/>
      <c r="BA159" s="182"/>
      <c r="BB159" s="182"/>
    </row>
    <row r="160" spans="1:54" ht="15.75" customHeight="1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82"/>
      <c r="AM160" s="182"/>
      <c r="AN160" s="182"/>
      <c r="AO160" s="182"/>
      <c r="AP160" s="182"/>
      <c r="AQ160" s="182"/>
      <c r="AR160" s="182"/>
      <c r="AS160" s="182"/>
      <c r="AT160" s="182"/>
      <c r="AU160" s="182"/>
      <c r="AV160" s="182"/>
      <c r="AW160" s="182"/>
      <c r="AX160" s="182"/>
      <c r="AY160" s="182"/>
      <c r="AZ160" s="182"/>
      <c r="BA160" s="182"/>
      <c r="BB160" s="182"/>
    </row>
    <row r="161" spans="1:54" ht="15.75" customHeight="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82"/>
      <c r="AM161" s="182"/>
      <c r="AN161" s="182"/>
      <c r="AO161" s="182"/>
      <c r="AP161" s="182"/>
      <c r="AQ161" s="182"/>
      <c r="AR161" s="182"/>
      <c r="AS161" s="182"/>
      <c r="AT161" s="182"/>
      <c r="AU161" s="182"/>
      <c r="AV161" s="182"/>
      <c r="AW161" s="182"/>
      <c r="AX161" s="182"/>
      <c r="AY161" s="182"/>
      <c r="AZ161" s="182"/>
      <c r="BA161" s="182"/>
      <c r="BB161" s="182"/>
    </row>
    <row r="162" spans="1:54" ht="15.75" customHeight="1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182"/>
      <c r="AF162" s="182"/>
      <c r="AG162" s="182"/>
      <c r="AH162" s="182"/>
      <c r="AI162" s="182"/>
      <c r="AJ162" s="182"/>
      <c r="AK162" s="182"/>
      <c r="AL162" s="182"/>
      <c r="AM162" s="182"/>
      <c r="AN162" s="182"/>
      <c r="AO162" s="182"/>
      <c r="AP162" s="182"/>
      <c r="AQ162" s="182"/>
      <c r="AR162" s="182"/>
      <c r="AS162" s="182"/>
      <c r="AT162" s="182"/>
      <c r="AU162" s="182"/>
      <c r="AV162" s="182"/>
      <c r="AW162" s="182"/>
      <c r="AX162" s="182"/>
      <c r="AY162" s="182"/>
      <c r="AZ162" s="182"/>
      <c r="BA162" s="182"/>
      <c r="BB162" s="182"/>
    </row>
    <row r="163" spans="1:54" ht="15.75" customHeight="1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182"/>
      <c r="AH163" s="182"/>
      <c r="AI163" s="182"/>
      <c r="AJ163" s="182"/>
      <c r="AK163" s="182"/>
      <c r="AL163" s="182"/>
      <c r="AM163" s="182"/>
      <c r="AN163" s="182"/>
      <c r="AO163" s="182"/>
      <c r="AP163" s="182"/>
      <c r="AQ163" s="182"/>
      <c r="AR163" s="182"/>
      <c r="AS163" s="182"/>
      <c r="AT163" s="182"/>
      <c r="AU163" s="182"/>
      <c r="AV163" s="182"/>
      <c r="AW163" s="182"/>
      <c r="AX163" s="182"/>
      <c r="AY163" s="182"/>
      <c r="AZ163" s="182"/>
      <c r="BA163" s="182"/>
      <c r="BB163" s="182"/>
    </row>
    <row r="164" spans="1:54" ht="15.75" customHeight="1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/>
      <c r="AI164" s="182"/>
      <c r="AJ164" s="182"/>
      <c r="AK164" s="182"/>
      <c r="AL164" s="182"/>
      <c r="AM164" s="182"/>
      <c r="AN164" s="182"/>
      <c r="AO164" s="182"/>
      <c r="AP164" s="182"/>
      <c r="AQ164" s="182"/>
      <c r="AR164" s="182"/>
      <c r="AS164" s="182"/>
      <c r="AT164" s="182"/>
      <c r="AU164" s="182"/>
      <c r="AV164" s="182"/>
      <c r="AW164" s="182"/>
      <c r="AX164" s="182"/>
      <c r="AY164" s="182"/>
      <c r="AZ164" s="182"/>
      <c r="BA164" s="182"/>
      <c r="BB164" s="182"/>
    </row>
    <row r="165" spans="1:54" ht="15.75" customHeight="1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  <c r="AF165" s="182"/>
      <c r="AG165" s="182"/>
      <c r="AH165" s="182"/>
      <c r="AI165" s="182"/>
      <c r="AJ165" s="182"/>
      <c r="AK165" s="182"/>
      <c r="AL165" s="182"/>
      <c r="AM165" s="182"/>
      <c r="AN165" s="182"/>
      <c r="AO165" s="182"/>
      <c r="AP165" s="182"/>
      <c r="AQ165" s="182"/>
      <c r="AR165" s="182"/>
      <c r="AS165" s="182"/>
      <c r="AT165" s="182"/>
      <c r="AU165" s="182"/>
      <c r="AV165" s="182"/>
      <c r="AW165" s="182"/>
      <c r="AX165" s="182"/>
      <c r="AY165" s="182"/>
      <c r="AZ165" s="182"/>
      <c r="BA165" s="182"/>
      <c r="BB165" s="182"/>
    </row>
    <row r="166" spans="1:54" ht="15.75" customHeight="1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2"/>
      <c r="AH166" s="182"/>
      <c r="AI166" s="182"/>
      <c r="AJ166" s="182"/>
      <c r="AK166" s="182"/>
      <c r="AL166" s="182"/>
      <c r="AM166" s="182"/>
      <c r="AN166" s="182"/>
      <c r="AO166" s="182"/>
      <c r="AP166" s="182"/>
      <c r="AQ166" s="182"/>
      <c r="AR166" s="182"/>
      <c r="AS166" s="182"/>
      <c r="AT166" s="182"/>
      <c r="AU166" s="182"/>
      <c r="AV166" s="182"/>
      <c r="AW166" s="182"/>
      <c r="AX166" s="182"/>
      <c r="AY166" s="182"/>
      <c r="AZ166" s="182"/>
      <c r="BA166" s="182"/>
      <c r="BB166" s="182"/>
    </row>
    <row r="167" spans="1:54" ht="15.75" customHeight="1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  <c r="AG167" s="182"/>
      <c r="AH167" s="182"/>
      <c r="AI167" s="182"/>
      <c r="AJ167" s="182"/>
      <c r="AK167" s="182"/>
      <c r="AL167" s="182"/>
      <c r="AM167" s="182"/>
      <c r="AN167" s="182"/>
      <c r="AO167" s="182"/>
      <c r="AP167" s="182"/>
      <c r="AQ167" s="182"/>
      <c r="AR167" s="182"/>
      <c r="AS167" s="182"/>
      <c r="AT167" s="182"/>
      <c r="AU167" s="182"/>
      <c r="AV167" s="182"/>
      <c r="AW167" s="182"/>
      <c r="AX167" s="182"/>
      <c r="AY167" s="182"/>
      <c r="AZ167" s="182"/>
      <c r="BA167" s="182"/>
      <c r="BB167" s="182"/>
    </row>
    <row r="168" spans="1:54" ht="15.75" customHeight="1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2"/>
      <c r="AL168" s="182"/>
      <c r="AM168" s="182"/>
      <c r="AN168" s="182"/>
      <c r="AO168" s="182"/>
      <c r="AP168" s="182"/>
      <c r="AQ168" s="182"/>
      <c r="AR168" s="182"/>
      <c r="AS168" s="182"/>
      <c r="AT168" s="182"/>
      <c r="AU168" s="182"/>
      <c r="AV168" s="182"/>
      <c r="AW168" s="182"/>
      <c r="AX168" s="182"/>
      <c r="AY168" s="182"/>
      <c r="AZ168" s="182"/>
      <c r="BA168" s="182"/>
      <c r="BB168" s="182"/>
    </row>
    <row r="169" spans="1:54" ht="15.75" customHeight="1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/>
      <c r="AI169" s="182"/>
      <c r="AJ169" s="182"/>
      <c r="AK169" s="182"/>
      <c r="AL169" s="182"/>
      <c r="AM169" s="182"/>
      <c r="AN169" s="182"/>
      <c r="AO169" s="182"/>
      <c r="AP169" s="182"/>
      <c r="AQ169" s="182"/>
      <c r="AR169" s="182"/>
      <c r="AS169" s="182"/>
      <c r="AT169" s="182"/>
      <c r="AU169" s="182"/>
      <c r="AV169" s="182"/>
      <c r="AW169" s="182"/>
      <c r="AX169" s="182"/>
      <c r="AY169" s="182"/>
      <c r="AZ169" s="182"/>
      <c r="BA169" s="182"/>
      <c r="BB169" s="182"/>
    </row>
    <row r="170" spans="1:54" ht="15.75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/>
      <c r="AF170" s="182"/>
      <c r="AG170" s="182"/>
      <c r="AH170" s="182"/>
      <c r="AI170" s="182"/>
      <c r="AJ170" s="182"/>
      <c r="AK170" s="182"/>
      <c r="AL170" s="182"/>
      <c r="AM170" s="182"/>
      <c r="AN170" s="182"/>
      <c r="AO170" s="182"/>
      <c r="AP170" s="182"/>
      <c r="AQ170" s="182"/>
      <c r="AR170" s="182"/>
      <c r="AS170" s="182"/>
      <c r="AT170" s="182"/>
      <c r="AU170" s="182"/>
      <c r="AV170" s="182"/>
      <c r="AW170" s="182"/>
      <c r="AX170" s="182"/>
      <c r="AY170" s="182"/>
      <c r="AZ170" s="182"/>
      <c r="BA170" s="182"/>
      <c r="BB170" s="182"/>
    </row>
    <row r="171" spans="1:54" ht="15.75" customHeight="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/>
      <c r="AG171" s="182"/>
      <c r="AH171" s="182"/>
      <c r="AI171" s="182"/>
      <c r="AJ171" s="182"/>
      <c r="AK171" s="182"/>
      <c r="AL171" s="182"/>
      <c r="AM171" s="182"/>
      <c r="AN171" s="182"/>
      <c r="AO171" s="182"/>
      <c r="AP171" s="182"/>
      <c r="AQ171" s="182"/>
      <c r="AR171" s="182"/>
      <c r="AS171" s="182"/>
      <c r="AT171" s="182"/>
      <c r="AU171" s="182"/>
      <c r="AV171" s="182"/>
      <c r="AW171" s="182"/>
      <c r="AX171" s="182"/>
      <c r="AY171" s="182"/>
      <c r="AZ171" s="182"/>
      <c r="BA171" s="182"/>
      <c r="BB171" s="182"/>
    </row>
    <row r="172" spans="1:54" ht="15.75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/>
      <c r="AK172" s="182"/>
      <c r="AL172" s="182"/>
      <c r="AM172" s="182"/>
      <c r="AN172" s="182"/>
      <c r="AO172" s="182"/>
      <c r="AP172" s="182"/>
      <c r="AQ172" s="182"/>
      <c r="AR172" s="182"/>
      <c r="AS172" s="182"/>
      <c r="AT172" s="182"/>
      <c r="AU172" s="182"/>
      <c r="AV172" s="182"/>
      <c r="AW172" s="182"/>
      <c r="AX172" s="182"/>
      <c r="AY172" s="182"/>
      <c r="AZ172" s="182"/>
      <c r="BA172" s="182"/>
      <c r="BB172" s="182"/>
    </row>
    <row r="173" spans="1:54" ht="15.75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  <c r="AC173" s="182"/>
      <c r="AD173" s="182"/>
      <c r="AE173" s="182"/>
      <c r="AF173" s="182"/>
      <c r="AG173" s="182"/>
      <c r="AH173" s="182"/>
      <c r="AI173" s="182"/>
      <c r="AJ173" s="182"/>
      <c r="AK173" s="182"/>
      <c r="AL173" s="182"/>
      <c r="AM173" s="182"/>
      <c r="AN173" s="182"/>
      <c r="AO173" s="182"/>
      <c r="AP173" s="182"/>
      <c r="AQ173" s="182"/>
      <c r="AR173" s="182"/>
      <c r="AS173" s="182"/>
      <c r="AT173" s="182"/>
      <c r="AU173" s="182"/>
      <c r="AV173" s="182"/>
      <c r="AW173" s="182"/>
      <c r="AX173" s="182"/>
      <c r="AY173" s="182"/>
      <c r="AZ173" s="182"/>
      <c r="BA173" s="182"/>
      <c r="BB173" s="182"/>
    </row>
    <row r="174" spans="1:54" ht="15.75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82"/>
      <c r="AM174" s="182"/>
      <c r="AN174" s="182"/>
      <c r="AO174" s="182"/>
      <c r="AP174" s="182"/>
      <c r="AQ174" s="182"/>
      <c r="AR174" s="182"/>
      <c r="AS174" s="182"/>
      <c r="AT174" s="182"/>
      <c r="AU174" s="182"/>
      <c r="AV174" s="182"/>
      <c r="AW174" s="182"/>
      <c r="AX174" s="182"/>
      <c r="AY174" s="182"/>
      <c r="AZ174" s="182"/>
      <c r="BA174" s="182"/>
      <c r="BB174" s="182"/>
    </row>
    <row r="175" spans="1:54" ht="15.75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2"/>
      <c r="AK175" s="182"/>
      <c r="AL175" s="182"/>
      <c r="AM175" s="182"/>
      <c r="AN175" s="182"/>
      <c r="AO175" s="182"/>
      <c r="AP175" s="182"/>
      <c r="AQ175" s="182"/>
      <c r="AR175" s="182"/>
      <c r="AS175" s="182"/>
      <c r="AT175" s="182"/>
      <c r="AU175" s="182"/>
      <c r="AV175" s="182"/>
      <c r="AW175" s="182"/>
      <c r="AX175" s="182"/>
      <c r="AY175" s="182"/>
      <c r="AZ175" s="182"/>
      <c r="BA175" s="182"/>
      <c r="BB175" s="182"/>
    </row>
    <row r="176" spans="1:54" ht="15.75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2"/>
      <c r="AK176" s="182"/>
      <c r="AL176" s="182"/>
      <c r="AM176" s="182"/>
      <c r="AN176" s="182"/>
      <c r="AO176" s="182"/>
      <c r="AP176" s="182"/>
      <c r="AQ176" s="182"/>
      <c r="AR176" s="182"/>
      <c r="AS176" s="182"/>
      <c r="AT176" s="182"/>
      <c r="AU176" s="182"/>
      <c r="AV176" s="182"/>
      <c r="AW176" s="182"/>
      <c r="AX176" s="182"/>
      <c r="AY176" s="182"/>
      <c r="AZ176" s="182"/>
      <c r="BA176" s="182"/>
      <c r="BB176" s="182"/>
    </row>
    <row r="177" spans="1:54" ht="15.75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82"/>
      <c r="AM177" s="182"/>
      <c r="AN177" s="182"/>
      <c r="AO177" s="182"/>
      <c r="AP177" s="182"/>
      <c r="AQ177" s="182"/>
      <c r="AR177" s="182"/>
      <c r="AS177" s="182"/>
      <c r="AT177" s="182"/>
      <c r="AU177" s="182"/>
      <c r="AV177" s="182"/>
      <c r="AW177" s="182"/>
      <c r="AX177" s="182"/>
      <c r="AY177" s="182"/>
      <c r="AZ177" s="182"/>
      <c r="BA177" s="182"/>
      <c r="BB177" s="182"/>
    </row>
    <row r="178" spans="1:54" ht="15.75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/>
      <c r="AH178" s="182"/>
      <c r="AI178" s="182"/>
      <c r="AJ178" s="182"/>
      <c r="AK178" s="182"/>
      <c r="AL178" s="182"/>
      <c r="AM178" s="182"/>
      <c r="AN178" s="182"/>
      <c r="AO178" s="182"/>
      <c r="AP178" s="182"/>
      <c r="AQ178" s="182"/>
      <c r="AR178" s="182"/>
      <c r="AS178" s="182"/>
      <c r="AT178" s="182"/>
      <c r="AU178" s="182"/>
      <c r="AV178" s="182"/>
      <c r="AW178" s="182"/>
      <c r="AX178" s="182"/>
      <c r="AY178" s="182"/>
      <c r="AZ178" s="182"/>
      <c r="BA178" s="182"/>
      <c r="BB178" s="182"/>
    </row>
    <row r="179" spans="1:54" ht="15.75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/>
      <c r="AH179" s="182"/>
      <c r="AI179" s="182"/>
      <c r="AJ179" s="182"/>
      <c r="AK179" s="182"/>
      <c r="AL179" s="182"/>
      <c r="AM179" s="182"/>
      <c r="AN179" s="182"/>
      <c r="AO179" s="182"/>
      <c r="AP179" s="182"/>
      <c r="AQ179" s="182"/>
      <c r="AR179" s="182"/>
      <c r="AS179" s="182"/>
      <c r="AT179" s="182"/>
      <c r="AU179" s="182"/>
      <c r="AV179" s="182"/>
      <c r="AW179" s="182"/>
      <c r="AX179" s="182"/>
      <c r="AY179" s="182"/>
      <c r="AZ179" s="182"/>
      <c r="BA179" s="182"/>
      <c r="BB179" s="182"/>
    </row>
    <row r="180" spans="1:54" ht="15.75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  <c r="AG180" s="182"/>
      <c r="AH180" s="182"/>
      <c r="AI180" s="182"/>
      <c r="AJ180" s="182"/>
      <c r="AK180" s="182"/>
      <c r="AL180" s="182"/>
      <c r="AM180" s="182"/>
      <c r="AN180" s="182"/>
      <c r="AO180" s="182"/>
      <c r="AP180" s="182"/>
      <c r="AQ180" s="182"/>
      <c r="AR180" s="182"/>
      <c r="AS180" s="182"/>
      <c r="AT180" s="182"/>
      <c r="AU180" s="182"/>
      <c r="AV180" s="182"/>
      <c r="AW180" s="182"/>
      <c r="AX180" s="182"/>
      <c r="AY180" s="182"/>
      <c r="AZ180" s="182"/>
      <c r="BA180" s="182"/>
      <c r="BB180" s="182"/>
    </row>
    <row r="181" spans="1:54" ht="15.75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82"/>
      <c r="AM181" s="182"/>
      <c r="AN181" s="182"/>
      <c r="AO181" s="182"/>
      <c r="AP181" s="182"/>
      <c r="AQ181" s="182"/>
      <c r="AR181" s="182"/>
      <c r="AS181" s="182"/>
      <c r="AT181" s="182"/>
      <c r="AU181" s="182"/>
      <c r="AV181" s="182"/>
      <c r="AW181" s="182"/>
      <c r="AX181" s="182"/>
      <c r="AY181" s="182"/>
      <c r="AZ181" s="182"/>
      <c r="BA181" s="182"/>
      <c r="BB181" s="182"/>
    </row>
    <row r="182" spans="1:54" ht="15.75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2"/>
      <c r="AK182" s="182"/>
      <c r="AL182" s="182"/>
      <c r="AM182" s="182"/>
      <c r="AN182" s="182"/>
      <c r="AO182" s="182"/>
      <c r="AP182" s="182"/>
      <c r="AQ182" s="182"/>
      <c r="AR182" s="182"/>
      <c r="AS182" s="182"/>
      <c r="AT182" s="182"/>
      <c r="AU182" s="182"/>
      <c r="AV182" s="182"/>
      <c r="AW182" s="182"/>
      <c r="AX182" s="182"/>
      <c r="AY182" s="182"/>
      <c r="AZ182" s="182"/>
      <c r="BA182" s="182"/>
      <c r="BB182" s="182"/>
    </row>
    <row r="183" spans="1:54" ht="15.75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82"/>
      <c r="AM183" s="182"/>
      <c r="AN183" s="182"/>
      <c r="AO183" s="182"/>
      <c r="AP183" s="182"/>
      <c r="AQ183" s="182"/>
      <c r="AR183" s="182"/>
      <c r="AS183" s="182"/>
      <c r="AT183" s="182"/>
      <c r="AU183" s="182"/>
      <c r="AV183" s="182"/>
      <c r="AW183" s="182"/>
      <c r="AX183" s="182"/>
      <c r="AY183" s="182"/>
      <c r="AZ183" s="182"/>
      <c r="BA183" s="182"/>
      <c r="BB183" s="182"/>
    </row>
    <row r="184" spans="1:54" ht="15.7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82"/>
      <c r="AN184" s="182"/>
      <c r="AO184" s="182"/>
      <c r="AP184" s="182"/>
      <c r="AQ184" s="182"/>
      <c r="AR184" s="182"/>
      <c r="AS184" s="182"/>
      <c r="AT184" s="182"/>
      <c r="AU184" s="182"/>
      <c r="AV184" s="182"/>
      <c r="AW184" s="182"/>
      <c r="AX184" s="182"/>
      <c r="AY184" s="182"/>
      <c r="AZ184" s="182"/>
      <c r="BA184" s="182"/>
      <c r="BB184" s="182"/>
    </row>
    <row r="185" spans="1:54" ht="15.75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82"/>
      <c r="AF185" s="182"/>
      <c r="AG185" s="182"/>
      <c r="AH185" s="182"/>
      <c r="AI185" s="182"/>
      <c r="AJ185" s="182"/>
      <c r="AK185" s="182"/>
      <c r="AL185" s="182"/>
      <c r="AM185" s="182"/>
      <c r="AN185" s="182"/>
      <c r="AO185" s="182"/>
      <c r="AP185" s="182"/>
      <c r="AQ185" s="182"/>
      <c r="AR185" s="182"/>
      <c r="AS185" s="182"/>
      <c r="AT185" s="182"/>
      <c r="AU185" s="182"/>
      <c r="AV185" s="182"/>
      <c r="AW185" s="182"/>
      <c r="AX185" s="182"/>
      <c r="AY185" s="182"/>
      <c r="AZ185" s="182"/>
      <c r="BA185" s="182"/>
      <c r="BB185" s="182"/>
    </row>
    <row r="186" spans="1:54" ht="15.75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  <c r="AG186" s="182"/>
      <c r="AH186" s="182"/>
      <c r="AI186" s="182"/>
      <c r="AJ186" s="182"/>
      <c r="AK186" s="182"/>
      <c r="AL186" s="182"/>
      <c r="AM186" s="182"/>
      <c r="AN186" s="182"/>
      <c r="AO186" s="182"/>
      <c r="AP186" s="182"/>
      <c r="AQ186" s="182"/>
      <c r="AR186" s="182"/>
      <c r="AS186" s="182"/>
      <c r="AT186" s="182"/>
      <c r="AU186" s="182"/>
      <c r="AV186" s="182"/>
      <c r="AW186" s="182"/>
      <c r="AX186" s="182"/>
      <c r="AY186" s="182"/>
      <c r="AZ186" s="182"/>
      <c r="BA186" s="182"/>
      <c r="BB186" s="182"/>
    </row>
    <row r="187" spans="1:54" ht="15.75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82"/>
      <c r="AF187" s="182"/>
      <c r="AG187" s="182"/>
      <c r="AH187" s="182"/>
      <c r="AI187" s="182"/>
      <c r="AJ187" s="182"/>
      <c r="AK187" s="182"/>
      <c r="AL187" s="182"/>
      <c r="AM187" s="182"/>
      <c r="AN187" s="182"/>
      <c r="AO187" s="182"/>
      <c r="AP187" s="182"/>
      <c r="AQ187" s="182"/>
      <c r="AR187" s="182"/>
      <c r="AS187" s="182"/>
      <c r="AT187" s="182"/>
      <c r="AU187" s="182"/>
      <c r="AV187" s="182"/>
      <c r="AW187" s="182"/>
      <c r="AX187" s="182"/>
      <c r="AY187" s="182"/>
      <c r="AZ187" s="182"/>
      <c r="BA187" s="182"/>
      <c r="BB187" s="182"/>
    </row>
    <row r="188" spans="1:54" ht="15.75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82"/>
      <c r="AF188" s="182"/>
      <c r="AG188" s="182"/>
      <c r="AH188" s="182"/>
      <c r="AI188" s="182"/>
      <c r="AJ188" s="182"/>
      <c r="AK188" s="182"/>
      <c r="AL188" s="182"/>
      <c r="AM188" s="182"/>
      <c r="AN188" s="182"/>
      <c r="AO188" s="182"/>
      <c r="AP188" s="182"/>
      <c r="AQ188" s="182"/>
      <c r="AR188" s="182"/>
      <c r="AS188" s="182"/>
      <c r="AT188" s="182"/>
      <c r="AU188" s="182"/>
      <c r="AV188" s="182"/>
      <c r="AW188" s="182"/>
      <c r="AX188" s="182"/>
      <c r="AY188" s="182"/>
      <c r="AZ188" s="182"/>
      <c r="BA188" s="182"/>
      <c r="BB188" s="182"/>
    </row>
    <row r="189" spans="1:54" ht="15.75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  <c r="AD189" s="182"/>
      <c r="AE189" s="182"/>
      <c r="AF189" s="182"/>
      <c r="AG189" s="182"/>
      <c r="AH189" s="182"/>
      <c r="AI189" s="182"/>
      <c r="AJ189" s="182"/>
      <c r="AK189" s="182"/>
      <c r="AL189" s="182"/>
      <c r="AM189" s="182"/>
      <c r="AN189" s="182"/>
      <c r="AO189" s="182"/>
      <c r="AP189" s="182"/>
      <c r="AQ189" s="182"/>
      <c r="AR189" s="182"/>
      <c r="AS189" s="182"/>
      <c r="AT189" s="182"/>
      <c r="AU189" s="182"/>
      <c r="AV189" s="182"/>
      <c r="AW189" s="182"/>
      <c r="AX189" s="182"/>
      <c r="AY189" s="182"/>
      <c r="AZ189" s="182"/>
      <c r="BA189" s="182"/>
      <c r="BB189" s="182"/>
    </row>
    <row r="190" spans="1:54" ht="15.75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  <c r="AC190" s="182"/>
      <c r="AD190" s="182"/>
      <c r="AE190" s="182"/>
      <c r="AF190" s="182"/>
      <c r="AG190" s="182"/>
      <c r="AH190" s="182"/>
      <c r="AI190" s="182"/>
      <c r="AJ190" s="182"/>
      <c r="AK190" s="182"/>
      <c r="AL190" s="182"/>
      <c r="AM190" s="182"/>
      <c r="AN190" s="182"/>
      <c r="AO190" s="182"/>
      <c r="AP190" s="182"/>
      <c r="AQ190" s="182"/>
      <c r="AR190" s="182"/>
      <c r="AS190" s="182"/>
      <c r="AT190" s="182"/>
      <c r="AU190" s="182"/>
      <c r="AV190" s="182"/>
      <c r="AW190" s="182"/>
      <c r="AX190" s="182"/>
      <c r="AY190" s="182"/>
      <c r="AZ190" s="182"/>
      <c r="BA190" s="182"/>
      <c r="BB190" s="182"/>
    </row>
    <row r="191" spans="1:54" ht="15.75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82"/>
      <c r="AH191" s="182"/>
      <c r="AI191" s="182"/>
      <c r="AJ191" s="182"/>
      <c r="AK191" s="182"/>
      <c r="AL191" s="182"/>
      <c r="AM191" s="182"/>
      <c r="AN191" s="182"/>
      <c r="AO191" s="182"/>
      <c r="AP191" s="182"/>
      <c r="AQ191" s="182"/>
      <c r="AR191" s="182"/>
      <c r="AS191" s="182"/>
      <c r="AT191" s="182"/>
      <c r="AU191" s="182"/>
      <c r="AV191" s="182"/>
      <c r="AW191" s="182"/>
      <c r="AX191" s="182"/>
      <c r="AY191" s="182"/>
      <c r="AZ191" s="182"/>
      <c r="BA191" s="182"/>
      <c r="BB191" s="182"/>
    </row>
    <row r="192" spans="1:54" ht="15.75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  <c r="AC192" s="182"/>
      <c r="AD192" s="182"/>
      <c r="AE192" s="182"/>
      <c r="AF192" s="182"/>
      <c r="AG192" s="182"/>
      <c r="AH192" s="182"/>
      <c r="AI192" s="182"/>
      <c r="AJ192" s="182"/>
      <c r="AK192" s="182"/>
      <c r="AL192" s="182"/>
      <c r="AM192" s="182"/>
      <c r="AN192" s="182"/>
      <c r="AO192" s="182"/>
      <c r="AP192" s="182"/>
      <c r="AQ192" s="182"/>
      <c r="AR192" s="182"/>
      <c r="AS192" s="182"/>
      <c r="AT192" s="182"/>
      <c r="AU192" s="182"/>
      <c r="AV192" s="182"/>
      <c r="AW192" s="182"/>
      <c r="AX192" s="182"/>
      <c r="AY192" s="182"/>
      <c r="AZ192" s="182"/>
      <c r="BA192" s="182"/>
      <c r="BB192" s="182"/>
    </row>
    <row r="193" spans="1:54" ht="15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82"/>
      <c r="AF193" s="182"/>
      <c r="AG193" s="182"/>
      <c r="AH193" s="182"/>
      <c r="AI193" s="182"/>
      <c r="AJ193" s="182"/>
      <c r="AK193" s="182"/>
      <c r="AL193" s="182"/>
      <c r="AM193" s="182"/>
      <c r="AN193" s="182"/>
      <c r="AO193" s="182"/>
      <c r="AP193" s="182"/>
      <c r="AQ193" s="182"/>
      <c r="AR193" s="182"/>
      <c r="AS193" s="182"/>
      <c r="AT193" s="182"/>
      <c r="AU193" s="182"/>
      <c r="AV193" s="182"/>
      <c r="AW193" s="182"/>
      <c r="AX193" s="182"/>
      <c r="AY193" s="182"/>
      <c r="AZ193" s="182"/>
      <c r="BA193" s="182"/>
      <c r="BB193" s="182"/>
    </row>
    <row r="194" spans="1:54" ht="15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  <c r="AD194" s="182"/>
      <c r="AE194" s="182"/>
      <c r="AF194" s="182"/>
      <c r="AG194" s="182"/>
      <c r="AH194" s="182"/>
      <c r="AI194" s="182"/>
      <c r="AJ194" s="182"/>
      <c r="AK194" s="182"/>
      <c r="AL194" s="182"/>
      <c r="AM194" s="182"/>
      <c r="AN194" s="182"/>
      <c r="AO194" s="182"/>
      <c r="AP194" s="182"/>
      <c r="AQ194" s="182"/>
      <c r="AR194" s="182"/>
      <c r="AS194" s="182"/>
      <c r="AT194" s="182"/>
      <c r="AU194" s="182"/>
      <c r="AV194" s="182"/>
      <c r="AW194" s="182"/>
      <c r="AX194" s="182"/>
      <c r="AY194" s="182"/>
      <c r="AZ194" s="182"/>
      <c r="BA194" s="182"/>
      <c r="BB194" s="182"/>
    </row>
    <row r="195" spans="1:54" ht="15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  <c r="AC195" s="182"/>
      <c r="AD195" s="182"/>
      <c r="AE195" s="182"/>
      <c r="AF195" s="182"/>
      <c r="AG195" s="182"/>
      <c r="AH195" s="182"/>
      <c r="AI195" s="182"/>
      <c r="AJ195" s="182"/>
      <c r="AK195" s="182"/>
      <c r="AL195" s="182"/>
      <c r="AM195" s="182"/>
      <c r="AN195" s="182"/>
      <c r="AO195" s="182"/>
      <c r="AP195" s="182"/>
      <c r="AQ195" s="182"/>
      <c r="AR195" s="182"/>
      <c r="AS195" s="182"/>
      <c r="AT195" s="182"/>
      <c r="AU195" s="182"/>
      <c r="AV195" s="182"/>
      <c r="AW195" s="182"/>
      <c r="AX195" s="182"/>
      <c r="AY195" s="182"/>
      <c r="AZ195" s="182"/>
      <c r="BA195" s="182"/>
      <c r="BB195" s="182"/>
    </row>
    <row r="196" spans="1:54" ht="15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  <c r="AD196" s="182"/>
      <c r="AE196" s="182"/>
      <c r="AF196" s="182"/>
      <c r="AG196" s="182"/>
      <c r="AH196" s="182"/>
      <c r="AI196" s="182"/>
      <c r="AJ196" s="182"/>
      <c r="AK196" s="182"/>
      <c r="AL196" s="182"/>
      <c r="AM196" s="182"/>
      <c r="AN196" s="182"/>
      <c r="AO196" s="182"/>
      <c r="AP196" s="182"/>
      <c r="AQ196" s="182"/>
      <c r="AR196" s="182"/>
      <c r="AS196" s="182"/>
      <c r="AT196" s="182"/>
      <c r="AU196" s="182"/>
      <c r="AV196" s="182"/>
      <c r="AW196" s="182"/>
      <c r="AX196" s="182"/>
      <c r="AY196" s="182"/>
      <c r="AZ196" s="182"/>
      <c r="BA196" s="182"/>
      <c r="BB196" s="182"/>
    </row>
    <row r="197" spans="1:54" ht="15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82"/>
      <c r="AF197" s="182"/>
      <c r="AG197" s="182"/>
      <c r="AH197" s="182"/>
      <c r="AI197" s="182"/>
      <c r="AJ197" s="182"/>
      <c r="AK197" s="182"/>
      <c r="AL197" s="182"/>
      <c r="AM197" s="182"/>
      <c r="AN197" s="182"/>
      <c r="AO197" s="182"/>
      <c r="AP197" s="182"/>
      <c r="AQ197" s="182"/>
      <c r="AR197" s="182"/>
      <c r="AS197" s="182"/>
      <c r="AT197" s="182"/>
      <c r="AU197" s="182"/>
      <c r="AV197" s="182"/>
      <c r="AW197" s="182"/>
      <c r="AX197" s="182"/>
      <c r="AY197" s="182"/>
      <c r="AZ197" s="182"/>
      <c r="BA197" s="182"/>
      <c r="BB197" s="182"/>
    </row>
    <row r="198" spans="1:54" ht="15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82"/>
      <c r="AF198" s="182"/>
      <c r="AG198" s="182"/>
      <c r="AH198" s="182"/>
      <c r="AI198" s="182"/>
      <c r="AJ198" s="182"/>
      <c r="AK198" s="182"/>
      <c r="AL198" s="182"/>
      <c r="AM198" s="182"/>
      <c r="AN198" s="182"/>
      <c r="AO198" s="182"/>
      <c r="AP198" s="182"/>
      <c r="AQ198" s="182"/>
      <c r="AR198" s="182"/>
      <c r="AS198" s="182"/>
      <c r="AT198" s="182"/>
      <c r="AU198" s="182"/>
      <c r="AV198" s="182"/>
      <c r="AW198" s="182"/>
      <c r="AX198" s="182"/>
      <c r="AY198" s="182"/>
      <c r="AZ198" s="182"/>
      <c r="BA198" s="182"/>
      <c r="BB198" s="182"/>
    </row>
    <row r="199" spans="1:54" ht="15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  <c r="AG199" s="182"/>
      <c r="AH199" s="182"/>
      <c r="AI199" s="182"/>
      <c r="AJ199" s="182"/>
      <c r="AK199" s="182"/>
      <c r="AL199" s="182"/>
      <c r="AM199" s="182"/>
      <c r="AN199" s="182"/>
      <c r="AO199" s="182"/>
      <c r="AP199" s="182"/>
      <c r="AQ199" s="182"/>
      <c r="AR199" s="182"/>
      <c r="AS199" s="182"/>
      <c r="AT199" s="182"/>
      <c r="AU199" s="182"/>
      <c r="AV199" s="182"/>
      <c r="AW199" s="182"/>
      <c r="AX199" s="182"/>
      <c r="AY199" s="182"/>
      <c r="AZ199" s="182"/>
      <c r="BA199" s="182"/>
      <c r="BB199" s="182"/>
    </row>
    <row r="200" spans="1:54" ht="15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  <c r="AG200" s="182"/>
      <c r="AH200" s="182"/>
      <c r="AI200" s="182"/>
      <c r="AJ200" s="182"/>
      <c r="AK200" s="182"/>
      <c r="AL200" s="182"/>
      <c r="AM200" s="182"/>
      <c r="AN200" s="182"/>
      <c r="AO200" s="182"/>
      <c r="AP200" s="182"/>
      <c r="AQ200" s="182"/>
      <c r="AR200" s="182"/>
      <c r="AS200" s="182"/>
      <c r="AT200" s="182"/>
      <c r="AU200" s="182"/>
      <c r="AV200" s="182"/>
      <c r="AW200" s="182"/>
      <c r="AX200" s="182"/>
      <c r="AY200" s="182"/>
      <c r="AZ200" s="182"/>
      <c r="BA200" s="182"/>
      <c r="BB200" s="182"/>
    </row>
    <row r="201" spans="1:54" ht="15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  <c r="AC201" s="182"/>
      <c r="AD201" s="182"/>
      <c r="AE201" s="182"/>
      <c r="AF201" s="182"/>
      <c r="AG201" s="182"/>
      <c r="AH201" s="182"/>
      <c r="AI201" s="182"/>
      <c r="AJ201" s="182"/>
      <c r="AK201" s="182"/>
      <c r="AL201" s="182"/>
      <c r="AM201" s="182"/>
      <c r="AN201" s="182"/>
      <c r="AO201" s="182"/>
      <c r="AP201" s="182"/>
      <c r="AQ201" s="182"/>
      <c r="AR201" s="182"/>
      <c r="AS201" s="182"/>
      <c r="AT201" s="182"/>
      <c r="AU201" s="182"/>
      <c r="AV201" s="182"/>
      <c r="AW201" s="182"/>
      <c r="AX201" s="182"/>
      <c r="AY201" s="182"/>
      <c r="AZ201" s="182"/>
      <c r="BA201" s="182"/>
      <c r="BB201" s="182"/>
    </row>
    <row r="202" spans="1:54" ht="15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  <c r="AG202" s="182"/>
      <c r="AH202" s="182"/>
      <c r="AI202" s="182"/>
      <c r="AJ202" s="182"/>
      <c r="AK202" s="182"/>
      <c r="AL202" s="182"/>
      <c r="AM202" s="182"/>
      <c r="AN202" s="182"/>
      <c r="AO202" s="182"/>
      <c r="AP202" s="182"/>
      <c r="AQ202" s="182"/>
      <c r="AR202" s="182"/>
      <c r="AS202" s="182"/>
      <c r="AT202" s="182"/>
      <c r="AU202" s="182"/>
      <c r="AV202" s="182"/>
      <c r="AW202" s="182"/>
      <c r="AX202" s="182"/>
      <c r="AY202" s="182"/>
      <c r="AZ202" s="182"/>
      <c r="BA202" s="182"/>
      <c r="BB202" s="182"/>
    </row>
    <row r="203" spans="1:54" ht="15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  <c r="AC203" s="182"/>
      <c r="AD203" s="182"/>
      <c r="AE203" s="182"/>
      <c r="AF203" s="182"/>
      <c r="AG203" s="182"/>
      <c r="AH203" s="182"/>
      <c r="AI203" s="182"/>
      <c r="AJ203" s="182"/>
      <c r="AK203" s="182"/>
      <c r="AL203" s="182"/>
      <c r="AM203" s="182"/>
      <c r="AN203" s="182"/>
      <c r="AO203" s="182"/>
      <c r="AP203" s="182"/>
      <c r="AQ203" s="182"/>
      <c r="AR203" s="182"/>
      <c r="AS203" s="182"/>
      <c r="AT203" s="182"/>
      <c r="AU203" s="182"/>
      <c r="AV203" s="182"/>
      <c r="AW203" s="182"/>
      <c r="AX203" s="182"/>
      <c r="AY203" s="182"/>
      <c r="AZ203" s="182"/>
      <c r="BA203" s="182"/>
      <c r="BB203" s="182"/>
    </row>
    <row r="204" spans="1:54" ht="15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  <c r="AC204" s="182"/>
      <c r="AD204" s="182"/>
      <c r="AE204" s="182"/>
      <c r="AF204" s="182"/>
      <c r="AG204" s="182"/>
      <c r="AH204" s="182"/>
      <c r="AI204" s="182"/>
      <c r="AJ204" s="182"/>
      <c r="AK204" s="182"/>
      <c r="AL204" s="182"/>
      <c r="AM204" s="182"/>
      <c r="AN204" s="182"/>
      <c r="AO204" s="182"/>
      <c r="AP204" s="182"/>
      <c r="AQ204" s="182"/>
      <c r="AR204" s="182"/>
      <c r="AS204" s="182"/>
      <c r="AT204" s="182"/>
      <c r="AU204" s="182"/>
      <c r="AV204" s="182"/>
      <c r="AW204" s="182"/>
      <c r="AX204" s="182"/>
      <c r="AY204" s="182"/>
      <c r="AZ204" s="182"/>
      <c r="BA204" s="182"/>
      <c r="BB204" s="182"/>
    </row>
    <row r="205" spans="1:54" ht="15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  <c r="AC205" s="182"/>
      <c r="AD205" s="182"/>
      <c r="AE205" s="182"/>
      <c r="AF205" s="182"/>
      <c r="AG205" s="182"/>
      <c r="AH205" s="182"/>
      <c r="AI205" s="182"/>
      <c r="AJ205" s="182"/>
      <c r="AK205" s="182"/>
      <c r="AL205" s="182"/>
      <c r="AM205" s="182"/>
      <c r="AN205" s="182"/>
      <c r="AO205" s="182"/>
      <c r="AP205" s="182"/>
      <c r="AQ205" s="182"/>
      <c r="AR205" s="182"/>
      <c r="AS205" s="182"/>
      <c r="AT205" s="182"/>
      <c r="AU205" s="182"/>
      <c r="AV205" s="182"/>
      <c r="AW205" s="182"/>
      <c r="AX205" s="182"/>
      <c r="AY205" s="182"/>
      <c r="AZ205" s="182"/>
      <c r="BA205" s="182"/>
      <c r="BB205" s="182"/>
    </row>
    <row r="206" spans="1:54" ht="15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  <c r="AC206" s="182"/>
      <c r="AD206" s="182"/>
      <c r="AE206" s="182"/>
      <c r="AF206" s="182"/>
      <c r="AG206" s="182"/>
      <c r="AH206" s="182"/>
      <c r="AI206" s="182"/>
      <c r="AJ206" s="182"/>
      <c r="AK206" s="182"/>
      <c r="AL206" s="182"/>
      <c r="AM206" s="182"/>
      <c r="AN206" s="182"/>
      <c r="AO206" s="182"/>
      <c r="AP206" s="182"/>
      <c r="AQ206" s="182"/>
      <c r="AR206" s="182"/>
      <c r="AS206" s="182"/>
      <c r="AT206" s="182"/>
      <c r="AU206" s="182"/>
      <c r="AV206" s="182"/>
      <c r="AW206" s="182"/>
      <c r="AX206" s="182"/>
      <c r="AY206" s="182"/>
      <c r="AZ206" s="182"/>
      <c r="BA206" s="182"/>
      <c r="BB206" s="182"/>
    </row>
    <row r="207" spans="1:54" ht="15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  <c r="AC207" s="182"/>
      <c r="AD207" s="182"/>
      <c r="AE207" s="182"/>
      <c r="AF207" s="182"/>
      <c r="AG207" s="182"/>
      <c r="AH207" s="182"/>
      <c r="AI207" s="182"/>
      <c r="AJ207" s="182"/>
      <c r="AK207" s="182"/>
      <c r="AL207" s="182"/>
      <c r="AM207" s="182"/>
      <c r="AN207" s="182"/>
      <c r="AO207" s="182"/>
      <c r="AP207" s="182"/>
      <c r="AQ207" s="182"/>
      <c r="AR207" s="182"/>
      <c r="AS207" s="182"/>
      <c r="AT207" s="182"/>
      <c r="AU207" s="182"/>
      <c r="AV207" s="182"/>
      <c r="AW207" s="182"/>
      <c r="AX207" s="182"/>
      <c r="AY207" s="182"/>
      <c r="AZ207" s="182"/>
      <c r="BA207" s="182"/>
      <c r="BB207" s="182"/>
    </row>
    <row r="208" spans="1:54" ht="15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  <c r="AC208" s="182"/>
      <c r="AD208" s="182"/>
      <c r="AE208" s="182"/>
      <c r="AF208" s="182"/>
      <c r="AG208" s="182"/>
      <c r="AH208" s="182"/>
      <c r="AI208" s="182"/>
      <c r="AJ208" s="182"/>
      <c r="AK208" s="182"/>
      <c r="AL208" s="182"/>
      <c r="AM208" s="182"/>
      <c r="AN208" s="182"/>
      <c r="AO208" s="182"/>
      <c r="AP208" s="182"/>
      <c r="AQ208" s="182"/>
      <c r="AR208" s="182"/>
      <c r="AS208" s="182"/>
      <c r="AT208" s="182"/>
      <c r="AU208" s="182"/>
      <c r="AV208" s="182"/>
      <c r="AW208" s="182"/>
      <c r="AX208" s="182"/>
      <c r="AY208" s="182"/>
      <c r="AZ208" s="182"/>
      <c r="BA208" s="182"/>
      <c r="BB208" s="182"/>
    </row>
    <row r="209" spans="1:54" ht="15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  <c r="AC209" s="182"/>
      <c r="AD209" s="182"/>
      <c r="AE209" s="182"/>
      <c r="AF209" s="182"/>
      <c r="AG209" s="182"/>
      <c r="AH209" s="182"/>
      <c r="AI209" s="182"/>
      <c r="AJ209" s="182"/>
      <c r="AK209" s="182"/>
      <c r="AL209" s="182"/>
      <c r="AM209" s="182"/>
      <c r="AN209" s="182"/>
      <c r="AO209" s="182"/>
      <c r="AP209" s="182"/>
      <c r="AQ209" s="182"/>
      <c r="AR209" s="182"/>
      <c r="AS209" s="182"/>
      <c r="AT209" s="182"/>
      <c r="AU209" s="182"/>
      <c r="AV209" s="182"/>
      <c r="AW209" s="182"/>
      <c r="AX209" s="182"/>
      <c r="AY209" s="182"/>
      <c r="AZ209" s="182"/>
      <c r="BA209" s="182"/>
      <c r="BB209" s="182"/>
    </row>
    <row r="210" spans="1:54" ht="15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  <c r="AC210" s="182"/>
      <c r="AD210" s="182"/>
      <c r="AE210" s="182"/>
      <c r="AF210" s="182"/>
      <c r="AG210" s="182"/>
      <c r="AH210" s="182"/>
      <c r="AI210" s="182"/>
      <c r="AJ210" s="182"/>
      <c r="AK210" s="182"/>
      <c r="AL210" s="182"/>
      <c r="AM210" s="182"/>
      <c r="AN210" s="182"/>
      <c r="AO210" s="182"/>
      <c r="AP210" s="182"/>
      <c r="AQ210" s="182"/>
      <c r="AR210" s="182"/>
      <c r="AS210" s="182"/>
      <c r="AT210" s="182"/>
      <c r="AU210" s="182"/>
      <c r="AV210" s="182"/>
      <c r="AW210" s="182"/>
      <c r="AX210" s="182"/>
      <c r="AY210" s="182"/>
      <c r="AZ210" s="182"/>
      <c r="BA210" s="182"/>
      <c r="BB210" s="182"/>
    </row>
    <row r="211" spans="1:54" ht="15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  <c r="AC211" s="182"/>
      <c r="AD211" s="182"/>
      <c r="AE211" s="182"/>
      <c r="AF211" s="182"/>
      <c r="AG211" s="182"/>
      <c r="AH211" s="182"/>
      <c r="AI211" s="182"/>
      <c r="AJ211" s="182"/>
      <c r="AK211" s="182"/>
      <c r="AL211" s="182"/>
      <c r="AM211" s="182"/>
      <c r="AN211" s="182"/>
      <c r="AO211" s="182"/>
      <c r="AP211" s="182"/>
      <c r="AQ211" s="182"/>
      <c r="AR211" s="182"/>
      <c r="AS211" s="182"/>
      <c r="AT211" s="182"/>
      <c r="AU211" s="182"/>
      <c r="AV211" s="182"/>
      <c r="AW211" s="182"/>
      <c r="AX211" s="182"/>
      <c r="AY211" s="182"/>
      <c r="AZ211" s="182"/>
      <c r="BA211" s="182"/>
      <c r="BB211" s="182"/>
    </row>
    <row r="212" spans="1:54" ht="15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  <c r="AC212" s="182"/>
      <c r="AD212" s="182"/>
      <c r="AE212" s="182"/>
      <c r="AF212" s="182"/>
      <c r="AG212" s="182"/>
      <c r="AH212" s="182"/>
      <c r="AI212" s="182"/>
      <c r="AJ212" s="182"/>
      <c r="AK212" s="182"/>
      <c r="AL212" s="182"/>
      <c r="AM212" s="182"/>
      <c r="AN212" s="182"/>
      <c r="AO212" s="182"/>
      <c r="AP212" s="182"/>
      <c r="AQ212" s="182"/>
      <c r="AR212" s="182"/>
      <c r="AS212" s="182"/>
      <c r="AT212" s="182"/>
      <c r="AU212" s="182"/>
      <c r="AV212" s="182"/>
      <c r="AW212" s="182"/>
      <c r="AX212" s="182"/>
      <c r="AY212" s="182"/>
      <c r="AZ212" s="182"/>
      <c r="BA212" s="182"/>
      <c r="BB212" s="182"/>
    </row>
    <row r="213" spans="1:54" ht="15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  <c r="AC213" s="182"/>
      <c r="AD213" s="182"/>
      <c r="AE213" s="182"/>
      <c r="AF213" s="182"/>
      <c r="AG213" s="182"/>
      <c r="AH213" s="182"/>
      <c r="AI213" s="182"/>
      <c r="AJ213" s="182"/>
      <c r="AK213" s="182"/>
      <c r="AL213" s="182"/>
      <c r="AM213" s="182"/>
      <c r="AN213" s="182"/>
      <c r="AO213" s="182"/>
      <c r="AP213" s="182"/>
      <c r="AQ213" s="182"/>
      <c r="AR213" s="182"/>
      <c r="AS213" s="182"/>
      <c r="AT213" s="182"/>
      <c r="AU213" s="182"/>
      <c r="AV213" s="182"/>
      <c r="AW213" s="182"/>
      <c r="AX213" s="182"/>
      <c r="AY213" s="182"/>
      <c r="AZ213" s="182"/>
      <c r="BA213" s="182"/>
      <c r="BB213" s="182"/>
    </row>
    <row r="214" spans="1:54" ht="15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  <c r="AC214" s="182"/>
      <c r="AD214" s="182"/>
      <c r="AE214" s="182"/>
      <c r="AF214" s="182"/>
      <c r="AG214" s="182"/>
      <c r="AH214" s="182"/>
      <c r="AI214" s="182"/>
      <c r="AJ214" s="182"/>
      <c r="AK214" s="182"/>
      <c r="AL214" s="182"/>
      <c r="AM214" s="182"/>
      <c r="AN214" s="182"/>
      <c r="AO214" s="182"/>
      <c r="AP214" s="182"/>
      <c r="AQ214" s="182"/>
      <c r="AR214" s="182"/>
      <c r="AS214" s="182"/>
      <c r="AT214" s="182"/>
      <c r="AU214" s="182"/>
      <c r="AV214" s="182"/>
      <c r="AW214" s="182"/>
      <c r="AX214" s="182"/>
      <c r="AY214" s="182"/>
      <c r="AZ214" s="182"/>
      <c r="BA214" s="182"/>
      <c r="BB214" s="182"/>
    </row>
    <row r="215" spans="1:54" ht="15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  <c r="AC215" s="182"/>
      <c r="AD215" s="182"/>
      <c r="AE215" s="182"/>
      <c r="AF215" s="182"/>
      <c r="AG215" s="182"/>
      <c r="AH215" s="182"/>
      <c r="AI215" s="182"/>
      <c r="AJ215" s="182"/>
      <c r="AK215" s="182"/>
      <c r="AL215" s="182"/>
      <c r="AM215" s="182"/>
      <c r="AN215" s="182"/>
      <c r="AO215" s="182"/>
      <c r="AP215" s="182"/>
      <c r="AQ215" s="182"/>
      <c r="AR215" s="182"/>
      <c r="AS215" s="182"/>
      <c r="AT215" s="182"/>
      <c r="AU215" s="182"/>
      <c r="AV215" s="182"/>
      <c r="AW215" s="182"/>
      <c r="AX215" s="182"/>
      <c r="AY215" s="182"/>
      <c r="AZ215" s="182"/>
      <c r="BA215" s="182"/>
      <c r="BB215" s="182"/>
    </row>
    <row r="216" spans="1:54" ht="15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/>
      <c r="AH216" s="182"/>
      <c r="AI216" s="182"/>
      <c r="AJ216" s="182"/>
      <c r="AK216" s="182"/>
      <c r="AL216" s="182"/>
      <c r="AM216" s="182"/>
      <c r="AN216" s="182"/>
      <c r="AO216" s="182"/>
      <c r="AP216" s="182"/>
      <c r="AQ216" s="182"/>
      <c r="AR216" s="182"/>
      <c r="AS216" s="182"/>
      <c r="AT216" s="182"/>
      <c r="AU216" s="182"/>
      <c r="AV216" s="182"/>
      <c r="AW216" s="182"/>
      <c r="AX216" s="182"/>
      <c r="AY216" s="182"/>
      <c r="AZ216" s="182"/>
      <c r="BA216" s="182"/>
      <c r="BB216" s="182"/>
    </row>
    <row r="217" spans="1:54" ht="15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  <c r="AC217" s="182"/>
      <c r="AD217" s="182"/>
      <c r="AE217" s="182"/>
      <c r="AF217" s="182"/>
      <c r="AG217" s="182"/>
      <c r="AH217" s="182"/>
      <c r="AI217" s="182"/>
      <c r="AJ217" s="182"/>
      <c r="AK217" s="182"/>
      <c r="AL217" s="182"/>
      <c r="AM217" s="182"/>
      <c r="AN217" s="182"/>
      <c r="AO217" s="182"/>
      <c r="AP217" s="182"/>
      <c r="AQ217" s="182"/>
      <c r="AR217" s="182"/>
      <c r="AS217" s="182"/>
      <c r="AT217" s="182"/>
      <c r="AU217" s="182"/>
      <c r="AV217" s="182"/>
      <c r="AW217" s="182"/>
      <c r="AX217" s="182"/>
      <c r="AY217" s="182"/>
      <c r="AZ217" s="182"/>
      <c r="BA217" s="182"/>
      <c r="BB217" s="182"/>
    </row>
    <row r="218" spans="1:54" ht="15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  <c r="AC218" s="182"/>
      <c r="AD218" s="182"/>
      <c r="AE218" s="182"/>
      <c r="AF218" s="182"/>
      <c r="AG218" s="182"/>
      <c r="AH218" s="182"/>
      <c r="AI218" s="182"/>
      <c r="AJ218" s="182"/>
      <c r="AK218" s="182"/>
      <c r="AL218" s="182"/>
      <c r="AM218" s="182"/>
      <c r="AN218" s="182"/>
      <c r="AO218" s="182"/>
      <c r="AP218" s="182"/>
      <c r="AQ218" s="182"/>
      <c r="AR218" s="182"/>
      <c r="AS218" s="182"/>
      <c r="AT218" s="182"/>
      <c r="AU218" s="182"/>
      <c r="AV218" s="182"/>
      <c r="AW218" s="182"/>
      <c r="AX218" s="182"/>
      <c r="AY218" s="182"/>
      <c r="AZ218" s="182"/>
      <c r="BA218" s="182"/>
      <c r="BB218" s="182"/>
    </row>
    <row r="219" spans="1:54" ht="15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  <c r="AC219" s="182"/>
      <c r="AD219" s="182"/>
      <c r="AE219" s="182"/>
      <c r="AF219" s="182"/>
      <c r="AG219" s="182"/>
      <c r="AH219" s="182"/>
      <c r="AI219" s="182"/>
      <c r="AJ219" s="182"/>
      <c r="AK219" s="182"/>
      <c r="AL219" s="182"/>
      <c r="AM219" s="182"/>
      <c r="AN219" s="182"/>
      <c r="AO219" s="182"/>
      <c r="AP219" s="182"/>
      <c r="AQ219" s="182"/>
      <c r="AR219" s="182"/>
      <c r="AS219" s="182"/>
      <c r="AT219" s="182"/>
      <c r="AU219" s="182"/>
      <c r="AV219" s="182"/>
      <c r="AW219" s="182"/>
      <c r="AX219" s="182"/>
      <c r="AY219" s="182"/>
      <c r="AZ219" s="182"/>
      <c r="BA219" s="182"/>
      <c r="BB219" s="182"/>
    </row>
    <row r="220" spans="1:54" ht="15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  <c r="AG220" s="182"/>
      <c r="AH220" s="182"/>
      <c r="AI220" s="182"/>
      <c r="AJ220" s="182"/>
      <c r="AK220" s="182"/>
      <c r="AL220" s="182"/>
      <c r="AM220" s="182"/>
      <c r="AN220" s="182"/>
      <c r="AO220" s="182"/>
      <c r="AP220" s="182"/>
      <c r="AQ220" s="182"/>
      <c r="AR220" s="182"/>
      <c r="AS220" s="182"/>
      <c r="AT220" s="182"/>
      <c r="AU220" s="182"/>
      <c r="AV220" s="182"/>
      <c r="AW220" s="182"/>
      <c r="AX220" s="182"/>
      <c r="AY220" s="182"/>
      <c r="AZ220" s="182"/>
      <c r="BA220" s="182"/>
      <c r="BB220" s="182"/>
    </row>
    <row r="221" spans="1:54" ht="15.7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  <c r="AC221" s="182"/>
      <c r="AD221" s="182"/>
      <c r="AE221" s="182"/>
      <c r="AF221" s="182"/>
      <c r="AG221" s="182"/>
      <c r="AH221" s="182"/>
      <c r="AI221" s="182"/>
      <c r="AJ221" s="182"/>
      <c r="AK221" s="182"/>
      <c r="AL221" s="182"/>
      <c r="AM221" s="182"/>
      <c r="AN221" s="182"/>
      <c r="AO221" s="182"/>
      <c r="AP221" s="182"/>
      <c r="AQ221" s="182"/>
      <c r="AR221" s="182"/>
      <c r="AS221" s="182"/>
      <c r="AT221" s="182"/>
      <c r="AU221" s="182"/>
      <c r="AV221" s="182"/>
      <c r="AW221" s="182"/>
      <c r="AX221" s="182"/>
      <c r="AY221" s="182"/>
      <c r="AZ221" s="182"/>
      <c r="BA221" s="182"/>
      <c r="BB221" s="182"/>
    </row>
    <row r="222" spans="1:54" ht="15.7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  <c r="AC222" s="182"/>
      <c r="AD222" s="182"/>
      <c r="AE222" s="182"/>
      <c r="AF222" s="182"/>
      <c r="AG222" s="182"/>
      <c r="AH222" s="182"/>
      <c r="AI222" s="182"/>
      <c r="AJ222" s="182"/>
      <c r="AK222" s="182"/>
      <c r="AL222" s="182"/>
      <c r="AM222" s="182"/>
      <c r="AN222" s="182"/>
      <c r="AO222" s="182"/>
      <c r="AP222" s="182"/>
      <c r="AQ222" s="182"/>
      <c r="AR222" s="182"/>
      <c r="AS222" s="182"/>
      <c r="AT222" s="182"/>
      <c r="AU222" s="182"/>
      <c r="AV222" s="182"/>
      <c r="AW222" s="182"/>
      <c r="AX222" s="182"/>
      <c r="AY222" s="182"/>
      <c r="AZ222" s="182"/>
      <c r="BA222" s="182"/>
      <c r="BB222" s="182"/>
    </row>
    <row r="223" spans="1:54" ht="15.7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  <c r="AC223" s="182"/>
      <c r="AD223" s="182"/>
      <c r="AE223" s="182"/>
      <c r="AF223" s="182"/>
      <c r="AG223" s="182"/>
      <c r="AH223" s="182"/>
      <c r="AI223" s="182"/>
      <c r="AJ223" s="182"/>
      <c r="AK223" s="182"/>
      <c r="AL223" s="182"/>
      <c r="AM223" s="182"/>
      <c r="AN223" s="182"/>
      <c r="AO223" s="182"/>
      <c r="AP223" s="182"/>
      <c r="AQ223" s="182"/>
      <c r="AR223" s="182"/>
      <c r="AS223" s="182"/>
      <c r="AT223" s="182"/>
      <c r="AU223" s="182"/>
      <c r="AV223" s="182"/>
      <c r="AW223" s="182"/>
      <c r="AX223" s="182"/>
      <c r="AY223" s="182"/>
      <c r="AZ223" s="182"/>
      <c r="BA223" s="182"/>
      <c r="BB223" s="182"/>
    </row>
    <row r="224" spans="1:54" ht="15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  <c r="AC224" s="182"/>
      <c r="AD224" s="182"/>
      <c r="AE224" s="182"/>
      <c r="AF224" s="182"/>
      <c r="AG224" s="182"/>
      <c r="AH224" s="182"/>
      <c r="AI224" s="182"/>
      <c r="AJ224" s="182"/>
      <c r="AK224" s="182"/>
      <c r="AL224" s="182"/>
      <c r="AM224" s="182"/>
      <c r="AN224" s="182"/>
      <c r="AO224" s="182"/>
      <c r="AP224" s="182"/>
      <c r="AQ224" s="182"/>
      <c r="AR224" s="182"/>
      <c r="AS224" s="182"/>
      <c r="AT224" s="182"/>
      <c r="AU224" s="182"/>
      <c r="AV224" s="182"/>
      <c r="AW224" s="182"/>
      <c r="AX224" s="182"/>
      <c r="AY224" s="182"/>
      <c r="AZ224" s="182"/>
      <c r="BA224" s="182"/>
      <c r="BB224" s="182"/>
    </row>
    <row r="225" spans="1:54" ht="15.7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  <c r="AC225" s="182"/>
      <c r="AD225" s="182"/>
      <c r="AE225" s="182"/>
      <c r="AF225" s="182"/>
      <c r="AG225" s="182"/>
      <c r="AH225" s="182"/>
      <c r="AI225" s="182"/>
      <c r="AJ225" s="182"/>
      <c r="AK225" s="182"/>
      <c r="AL225" s="182"/>
      <c r="AM225" s="182"/>
      <c r="AN225" s="182"/>
      <c r="AO225" s="182"/>
      <c r="AP225" s="182"/>
      <c r="AQ225" s="182"/>
      <c r="AR225" s="182"/>
      <c r="AS225" s="182"/>
      <c r="AT225" s="182"/>
      <c r="AU225" s="182"/>
      <c r="AV225" s="182"/>
      <c r="AW225" s="182"/>
      <c r="AX225" s="182"/>
      <c r="AY225" s="182"/>
      <c r="AZ225" s="182"/>
      <c r="BA225" s="182"/>
      <c r="BB225" s="182"/>
    </row>
    <row r="226" spans="1:54" ht="15.7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  <c r="AC226" s="182"/>
      <c r="AD226" s="182"/>
      <c r="AE226" s="182"/>
      <c r="AF226" s="182"/>
      <c r="AG226" s="182"/>
      <c r="AH226" s="182"/>
      <c r="AI226" s="182"/>
      <c r="AJ226" s="182"/>
      <c r="AK226" s="182"/>
      <c r="AL226" s="182"/>
      <c r="AM226" s="182"/>
      <c r="AN226" s="182"/>
      <c r="AO226" s="182"/>
      <c r="AP226" s="182"/>
      <c r="AQ226" s="182"/>
      <c r="AR226" s="182"/>
      <c r="AS226" s="182"/>
      <c r="AT226" s="182"/>
      <c r="AU226" s="182"/>
      <c r="AV226" s="182"/>
      <c r="AW226" s="182"/>
      <c r="AX226" s="182"/>
      <c r="AY226" s="182"/>
      <c r="AZ226" s="182"/>
      <c r="BA226" s="182"/>
      <c r="BB226" s="182"/>
    </row>
    <row r="227" spans="1:54" ht="15.7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  <c r="AC227" s="182"/>
      <c r="AD227" s="182"/>
      <c r="AE227" s="182"/>
      <c r="AF227" s="182"/>
      <c r="AG227" s="182"/>
      <c r="AH227" s="182"/>
      <c r="AI227" s="182"/>
      <c r="AJ227" s="182"/>
      <c r="AK227" s="182"/>
      <c r="AL227" s="182"/>
      <c r="AM227" s="182"/>
      <c r="AN227" s="182"/>
      <c r="AO227" s="182"/>
      <c r="AP227" s="182"/>
      <c r="AQ227" s="182"/>
      <c r="AR227" s="182"/>
      <c r="AS227" s="182"/>
      <c r="AT227" s="182"/>
      <c r="AU227" s="182"/>
      <c r="AV227" s="182"/>
      <c r="AW227" s="182"/>
      <c r="AX227" s="182"/>
      <c r="AY227" s="182"/>
      <c r="AZ227" s="182"/>
      <c r="BA227" s="182"/>
      <c r="BB227" s="182"/>
    </row>
    <row r="228" spans="1:54" ht="15.7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  <c r="AC228" s="182"/>
      <c r="AD228" s="182"/>
      <c r="AE228" s="182"/>
      <c r="AF228" s="182"/>
      <c r="AG228" s="182"/>
      <c r="AH228" s="182"/>
      <c r="AI228" s="182"/>
      <c r="AJ228" s="182"/>
      <c r="AK228" s="182"/>
      <c r="AL228" s="182"/>
      <c r="AM228" s="182"/>
      <c r="AN228" s="182"/>
      <c r="AO228" s="182"/>
      <c r="AP228" s="182"/>
      <c r="AQ228" s="182"/>
      <c r="AR228" s="182"/>
      <c r="AS228" s="182"/>
      <c r="AT228" s="182"/>
      <c r="AU228" s="182"/>
      <c r="AV228" s="182"/>
      <c r="AW228" s="182"/>
      <c r="AX228" s="182"/>
      <c r="AY228" s="182"/>
      <c r="AZ228" s="182"/>
      <c r="BA228" s="182"/>
      <c r="BB228" s="182"/>
    </row>
    <row r="229" spans="1:54" ht="15.7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  <c r="AC229" s="182"/>
      <c r="AD229" s="182"/>
      <c r="AE229" s="182"/>
      <c r="AF229" s="182"/>
      <c r="AG229" s="182"/>
      <c r="AH229" s="182"/>
      <c r="AI229" s="182"/>
      <c r="AJ229" s="182"/>
      <c r="AK229" s="182"/>
      <c r="AL229" s="182"/>
      <c r="AM229" s="182"/>
      <c r="AN229" s="182"/>
      <c r="AO229" s="182"/>
      <c r="AP229" s="182"/>
      <c r="AQ229" s="182"/>
      <c r="AR229" s="182"/>
      <c r="AS229" s="182"/>
      <c r="AT229" s="182"/>
      <c r="AU229" s="182"/>
      <c r="AV229" s="182"/>
      <c r="AW229" s="182"/>
      <c r="AX229" s="182"/>
      <c r="AY229" s="182"/>
      <c r="AZ229" s="182"/>
      <c r="BA229" s="182"/>
      <c r="BB229" s="182"/>
    </row>
    <row r="230" spans="1:54" ht="15.7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  <c r="AC230" s="182"/>
      <c r="AD230" s="182"/>
      <c r="AE230" s="182"/>
      <c r="AF230" s="182"/>
      <c r="AG230" s="182"/>
      <c r="AH230" s="182"/>
      <c r="AI230" s="182"/>
      <c r="AJ230" s="182"/>
      <c r="AK230" s="182"/>
      <c r="AL230" s="182"/>
      <c r="AM230" s="182"/>
      <c r="AN230" s="182"/>
      <c r="AO230" s="182"/>
      <c r="AP230" s="182"/>
      <c r="AQ230" s="182"/>
      <c r="AR230" s="182"/>
      <c r="AS230" s="182"/>
      <c r="AT230" s="182"/>
      <c r="AU230" s="182"/>
      <c r="AV230" s="182"/>
      <c r="AW230" s="182"/>
      <c r="AX230" s="182"/>
      <c r="AY230" s="182"/>
      <c r="AZ230" s="182"/>
      <c r="BA230" s="182"/>
      <c r="BB230" s="182"/>
    </row>
    <row r="231" spans="1:54" ht="15.7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  <c r="AC231" s="182"/>
      <c r="AD231" s="182"/>
      <c r="AE231" s="182"/>
      <c r="AF231" s="182"/>
      <c r="AG231" s="182"/>
      <c r="AH231" s="182"/>
      <c r="AI231" s="182"/>
      <c r="AJ231" s="182"/>
      <c r="AK231" s="182"/>
      <c r="AL231" s="182"/>
      <c r="AM231" s="182"/>
      <c r="AN231" s="182"/>
      <c r="AO231" s="182"/>
      <c r="AP231" s="182"/>
      <c r="AQ231" s="182"/>
      <c r="AR231" s="182"/>
      <c r="AS231" s="182"/>
      <c r="AT231" s="182"/>
      <c r="AU231" s="182"/>
      <c r="AV231" s="182"/>
      <c r="AW231" s="182"/>
      <c r="AX231" s="182"/>
      <c r="AY231" s="182"/>
      <c r="AZ231" s="182"/>
      <c r="BA231" s="182"/>
      <c r="BB231" s="182"/>
    </row>
    <row r="232" spans="1:54" ht="15.7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  <c r="AC232" s="182"/>
      <c r="AD232" s="182"/>
      <c r="AE232" s="182"/>
      <c r="AF232" s="182"/>
      <c r="AG232" s="182"/>
      <c r="AH232" s="182"/>
      <c r="AI232" s="182"/>
      <c r="AJ232" s="182"/>
      <c r="AK232" s="182"/>
      <c r="AL232" s="182"/>
      <c r="AM232" s="182"/>
      <c r="AN232" s="182"/>
      <c r="AO232" s="182"/>
      <c r="AP232" s="182"/>
      <c r="AQ232" s="182"/>
      <c r="AR232" s="182"/>
      <c r="AS232" s="182"/>
      <c r="AT232" s="182"/>
      <c r="AU232" s="182"/>
      <c r="AV232" s="182"/>
      <c r="AW232" s="182"/>
      <c r="AX232" s="182"/>
      <c r="AY232" s="182"/>
      <c r="AZ232" s="182"/>
      <c r="BA232" s="182"/>
      <c r="BB232" s="182"/>
    </row>
    <row r="233" spans="1:54" ht="15.7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  <c r="AC233" s="182"/>
      <c r="AD233" s="182"/>
      <c r="AE233" s="182"/>
      <c r="AF233" s="182"/>
      <c r="AG233" s="182"/>
      <c r="AH233" s="182"/>
      <c r="AI233" s="182"/>
      <c r="AJ233" s="182"/>
      <c r="AK233" s="182"/>
      <c r="AL233" s="182"/>
      <c r="AM233" s="182"/>
      <c r="AN233" s="182"/>
      <c r="AO233" s="182"/>
      <c r="AP233" s="182"/>
      <c r="AQ233" s="182"/>
      <c r="AR233" s="182"/>
      <c r="AS233" s="182"/>
      <c r="AT233" s="182"/>
      <c r="AU233" s="182"/>
      <c r="AV233" s="182"/>
      <c r="AW233" s="182"/>
      <c r="AX233" s="182"/>
      <c r="AY233" s="182"/>
      <c r="AZ233" s="182"/>
      <c r="BA233" s="182"/>
      <c r="BB233" s="182"/>
    </row>
    <row r="234" spans="1:54" ht="15.7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  <c r="AC234" s="182"/>
      <c r="AD234" s="182"/>
      <c r="AE234" s="182"/>
      <c r="AF234" s="182"/>
      <c r="AG234" s="182"/>
      <c r="AH234" s="182"/>
      <c r="AI234" s="182"/>
      <c r="AJ234" s="182"/>
      <c r="AK234" s="182"/>
      <c r="AL234" s="182"/>
      <c r="AM234" s="182"/>
      <c r="AN234" s="182"/>
      <c r="AO234" s="182"/>
      <c r="AP234" s="182"/>
      <c r="AQ234" s="182"/>
      <c r="AR234" s="182"/>
      <c r="AS234" s="182"/>
      <c r="AT234" s="182"/>
      <c r="AU234" s="182"/>
      <c r="AV234" s="182"/>
      <c r="AW234" s="182"/>
      <c r="AX234" s="182"/>
      <c r="AY234" s="182"/>
      <c r="AZ234" s="182"/>
      <c r="BA234" s="182"/>
      <c r="BB234" s="182"/>
    </row>
    <row r="235" spans="1:54" ht="15.7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  <c r="AC235" s="182"/>
      <c r="AD235" s="182"/>
      <c r="AE235" s="182"/>
      <c r="AF235" s="182"/>
      <c r="AG235" s="182"/>
      <c r="AH235" s="182"/>
      <c r="AI235" s="182"/>
      <c r="AJ235" s="182"/>
      <c r="AK235" s="182"/>
      <c r="AL235" s="182"/>
      <c r="AM235" s="182"/>
      <c r="AN235" s="182"/>
      <c r="AO235" s="182"/>
      <c r="AP235" s="182"/>
      <c r="AQ235" s="182"/>
      <c r="AR235" s="182"/>
      <c r="AS235" s="182"/>
      <c r="AT235" s="182"/>
      <c r="AU235" s="182"/>
      <c r="AV235" s="182"/>
      <c r="AW235" s="182"/>
      <c r="AX235" s="182"/>
      <c r="AY235" s="182"/>
      <c r="AZ235" s="182"/>
      <c r="BA235" s="182"/>
      <c r="BB235" s="182"/>
    </row>
    <row r="236" spans="1:54" ht="15.7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  <c r="AC236" s="182"/>
      <c r="AD236" s="182"/>
      <c r="AE236" s="182"/>
      <c r="AF236" s="182"/>
      <c r="AG236" s="182"/>
      <c r="AH236" s="182"/>
      <c r="AI236" s="182"/>
      <c r="AJ236" s="182"/>
      <c r="AK236" s="182"/>
      <c r="AL236" s="182"/>
      <c r="AM236" s="182"/>
      <c r="AN236" s="182"/>
      <c r="AO236" s="182"/>
      <c r="AP236" s="182"/>
      <c r="AQ236" s="182"/>
      <c r="AR236" s="182"/>
      <c r="AS236" s="182"/>
      <c r="AT236" s="182"/>
      <c r="AU236" s="182"/>
      <c r="AV236" s="182"/>
      <c r="AW236" s="182"/>
      <c r="AX236" s="182"/>
      <c r="AY236" s="182"/>
      <c r="AZ236" s="182"/>
      <c r="BA236" s="182"/>
      <c r="BB236" s="182"/>
    </row>
    <row r="237" spans="1:54" ht="15.7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  <c r="AC237" s="182"/>
      <c r="AD237" s="182"/>
      <c r="AE237" s="182"/>
      <c r="AF237" s="182"/>
      <c r="AG237" s="182"/>
      <c r="AH237" s="182"/>
      <c r="AI237" s="182"/>
      <c r="AJ237" s="182"/>
      <c r="AK237" s="182"/>
      <c r="AL237" s="182"/>
      <c r="AM237" s="182"/>
      <c r="AN237" s="182"/>
      <c r="AO237" s="182"/>
      <c r="AP237" s="182"/>
      <c r="AQ237" s="182"/>
      <c r="AR237" s="182"/>
      <c r="AS237" s="182"/>
      <c r="AT237" s="182"/>
      <c r="AU237" s="182"/>
      <c r="AV237" s="182"/>
      <c r="AW237" s="182"/>
      <c r="AX237" s="182"/>
      <c r="AY237" s="182"/>
      <c r="AZ237" s="182"/>
      <c r="BA237" s="182"/>
      <c r="BB237" s="182"/>
    </row>
    <row r="238" spans="1:54" ht="15.7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  <c r="AC238" s="182"/>
      <c r="AD238" s="182"/>
      <c r="AE238" s="182"/>
      <c r="AF238" s="182"/>
      <c r="AG238" s="182"/>
      <c r="AH238" s="182"/>
      <c r="AI238" s="182"/>
      <c r="AJ238" s="182"/>
      <c r="AK238" s="182"/>
      <c r="AL238" s="182"/>
      <c r="AM238" s="182"/>
      <c r="AN238" s="182"/>
      <c r="AO238" s="182"/>
      <c r="AP238" s="182"/>
      <c r="AQ238" s="182"/>
      <c r="AR238" s="182"/>
      <c r="AS238" s="182"/>
      <c r="AT238" s="182"/>
      <c r="AU238" s="182"/>
      <c r="AV238" s="182"/>
      <c r="AW238" s="182"/>
      <c r="AX238" s="182"/>
      <c r="AY238" s="182"/>
      <c r="AZ238" s="182"/>
      <c r="BA238" s="182"/>
      <c r="BB238" s="182"/>
    </row>
    <row r="239" spans="1:54" ht="15.7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  <c r="AC239" s="182"/>
      <c r="AD239" s="182"/>
      <c r="AE239" s="182"/>
      <c r="AF239" s="182"/>
      <c r="AG239" s="182"/>
      <c r="AH239" s="182"/>
      <c r="AI239" s="182"/>
      <c r="AJ239" s="182"/>
      <c r="AK239" s="182"/>
      <c r="AL239" s="182"/>
      <c r="AM239" s="182"/>
      <c r="AN239" s="182"/>
      <c r="AO239" s="182"/>
      <c r="AP239" s="182"/>
      <c r="AQ239" s="182"/>
      <c r="AR239" s="182"/>
      <c r="AS239" s="182"/>
      <c r="AT239" s="182"/>
      <c r="AU239" s="182"/>
      <c r="AV239" s="182"/>
      <c r="AW239" s="182"/>
      <c r="AX239" s="182"/>
      <c r="AY239" s="182"/>
      <c r="AZ239" s="182"/>
      <c r="BA239" s="182"/>
      <c r="BB239" s="182"/>
    </row>
    <row r="240" spans="1:54" ht="15.7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  <c r="AC240" s="182"/>
      <c r="AD240" s="182"/>
      <c r="AE240" s="182"/>
      <c r="AF240" s="182"/>
      <c r="AG240" s="182"/>
      <c r="AH240" s="182"/>
      <c r="AI240" s="182"/>
      <c r="AJ240" s="182"/>
      <c r="AK240" s="182"/>
      <c r="AL240" s="182"/>
      <c r="AM240" s="182"/>
      <c r="AN240" s="182"/>
      <c r="AO240" s="182"/>
      <c r="AP240" s="182"/>
      <c r="AQ240" s="182"/>
      <c r="AR240" s="182"/>
      <c r="AS240" s="182"/>
      <c r="AT240" s="182"/>
      <c r="AU240" s="182"/>
      <c r="AV240" s="182"/>
      <c r="AW240" s="182"/>
      <c r="AX240" s="182"/>
      <c r="AY240" s="182"/>
      <c r="AZ240" s="182"/>
      <c r="BA240" s="182"/>
      <c r="BB240" s="182"/>
    </row>
    <row r="241" spans="1:54" ht="15.7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  <c r="AC241" s="182"/>
      <c r="AD241" s="182"/>
      <c r="AE241" s="182"/>
      <c r="AF241" s="182"/>
      <c r="AG241" s="182"/>
      <c r="AH241" s="182"/>
      <c r="AI241" s="182"/>
      <c r="AJ241" s="182"/>
      <c r="AK241" s="182"/>
      <c r="AL241" s="182"/>
      <c r="AM241" s="182"/>
      <c r="AN241" s="182"/>
      <c r="AO241" s="182"/>
      <c r="AP241" s="182"/>
      <c r="AQ241" s="182"/>
      <c r="AR241" s="182"/>
      <c r="AS241" s="182"/>
      <c r="AT241" s="182"/>
      <c r="AU241" s="182"/>
      <c r="AV241" s="182"/>
      <c r="AW241" s="182"/>
      <c r="AX241" s="182"/>
      <c r="AY241" s="182"/>
      <c r="AZ241" s="182"/>
      <c r="BA241" s="182"/>
      <c r="BB241" s="182"/>
    </row>
    <row r="242" spans="1:54" ht="15.7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2"/>
      <c r="AH242" s="182"/>
      <c r="AI242" s="182"/>
      <c r="AJ242" s="182"/>
      <c r="AK242" s="182"/>
      <c r="AL242" s="182"/>
      <c r="AM242" s="182"/>
      <c r="AN242" s="182"/>
      <c r="AO242" s="182"/>
      <c r="AP242" s="182"/>
      <c r="AQ242" s="182"/>
      <c r="AR242" s="182"/>
      <c r="AS242" s="182"/>
      <c r="AT242" s="182"/>
      <c r="AU242" s="182"/>
      <c r="AV242" s="182"/>
      <c r="AW242" s="182"/>
      <c r="AX242" s="182"/>
      <c r="AY242" s="182"/>
      <c r="AZ242" s="182"/>
      <c r="BA242" s="182"/>
      <c r="BB242" s="182"/>
    </row>
    <row r="243" spans="1:54" ht="15.7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  <c r="AC243" s="182"/>
      <c r="AD243" s="182"/>
      <c r="AE243" s="182"/>
      <c r="AF243" s="182"/>
      <c r="AG243" s="182"/>
      <c r="AH243" s="182"/>
      <c r="AI243" s="182"/>
      <c r="AJ243" s="182"/>
      <c r="AK243" s="182"/>
      <c r="AL243" s="182"/>
      <c r="AM243" s="182"/>
      <c r="AN243" s="182"/>
      <c r="AO243" s="182"/>
      <c r="AP243" s="182"/>
      <c r="AQ243" s="182"/>
      <c r="AR243" s="182"/>
      <c r="AS243" s="182"/>
      <c r="AT243" s="182"/>
      <c r="AU243" s="182"/>
      <c r="AV243" s="182"/>
      <c r="AW243" s="182"/>
      <c r="AX243" s="182"/>
      <c r="AY243" s="182"/>
      <c r="AZ243" s="182"/>
      <c r="BA243" s="182"/>
      <c r="BB243" s="182"/>
    </row>
    <row r="244" spans="1:54" ht="15.7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  <c r="AC244" s="182"/>
      <c r="AD244" s="182"/>
      <c r="AE244" s="182"/>
      <c r="AF244" s="182"/>
      <c r="AG244" s="182"/>
      <c r="AH244" s="182"/>
      <c r="AI244" s="182"/>
      <c r="AJ244" s="182"/>
      <c r="AK244" s="182"/>
      <c r="AL244" s="182"/>
      <c r="AM244" s="182"/>
      <c r="AN244" s="182"/>
      <c r="AO244" s="182"/>
      <c r="AP244" s="182"/>
      <c r="AQ244" s="182"/>
      <c r="AR244" s="182"/>
      <c r="AS244" s="182"/>
      <c r="AT244" s="182"/>
      <c r="AU244" s="182"/>
      <c r="AV244" s="182"/>
      <c r="AW244" s="182"/>
      <c r="AX244" s="182"/>
      <c r="AY244" s="182"/>
      <c r="AZ244" s="182"/>
      <c r="BA244" s="182"/>
      <c r="BB244" s="182"/>
    </row>
    <row r="245" spans="1:54" ht="15.75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  <c r="AC245" s="182"/>
      <c r="AD245" s="182"/>
      <c r="AE245" s="182"/>
      <c r="AF245" s="182"/>
      <c r="AG245" s="182"/>
      <c r="AH245" s="182"/>
      <c r="AI245" s="182"/>
      <c r="AJ245" s="182"/>
      <c r="AK245" s="182"/>
      <c r="AL245" s="182"/>
      <c r="AM245" s="182"/>
      <c r="AN245" s="182"/>
      <c r="AO245" s="182"/>
      <c r="AP245" s="182"/>
      <c r="AQ245" s="182"/>
      <c r="AR245" s="182"/>
      <c r="AS245" s="182"/>
      <c r="AT245" s="182"/>
      <c r="AU245" s="182"/>
      <c r="AV245" s="182"/>
      <c r="AW245" s="182"/>
      <c r="AX245" s="182"/>
      <c r="AY245" s="182"/>
      <c r="AZ245" s="182"/>
      <c r="BA245" s="182"/>
      <c r="BB245" s="182"/>
    </row>
    <row r="246" spans="1:54" ht="15.75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  <c r="AC246" s="182"/>
      <c r="AD246" s="182"/>
      <c r="AE246" s="182"/>
      <c r="AF246" s="182"/>
      <c r="AG246" s="182"/>
      <c r="AH246" s="182"/>
      <c r="AI246" s="182"/>
      <c r="AJ246" s="182"/>
      <c r="AK246" s="182"/>
      <c r="AL246" s="182"/>
      <c r="AM246" s="182"/>
      <c r="AN246" s="182"/>
      <c r="AO246" s="182"/>
      <c r="AP246" s="182"/>
      <c r="AQ246" s="182"/>
      <c r="AR246" s="182"/>
      <c r="AS246" s="182"/>
      <c r="AT246" s="182"/>
      <c r="AU246" s="182"/>
      <c r="AV246" s="182"/>
      <c r="AW246" s="182"/>
      <c r="AX246" s="182"/>
      <c r="AY246" s="182"/>
      <c r="AZ246" s="182"/>
      <c r="BA246" s="182"/>
      <c r="BB246" s="182"/>
    </row>
    <row r="247" spans="1:54" ht="15.75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  <c r="AC247" s="182"/>
      <c r="AD247" s="182"/>
      <c r="AE247" s="182"/>
      <c r="AF247" s="182"/>
      <c r="AG247" s="182"/>
      <c r="AH247" s="182"/>
      <c r="AI247" s="182"/>
      <c r="AJ247" s="182"/>
      <c r="AK247" s="182"/>
      <c r="AL247" s="182"/>
      <c r="AM247" s="182"/>
      <c r="AN247" s="182"/>
      <c r="AO247" s="182"/>
      <c r="AP247" s="182"/>
      <c r="AQ247" s="182"/>
      <c r="AR247" s="182"/>
      <c r="AS247" s="182"/>
      <c r="AT247" s="182"/>
      <c r="AU247" s="182"/>
      <c r="AV247" s="182"/>
      <c r="AW247" s="182"/>
      <c r="AX247" s="182"/>
      <c r="AY247" s="182"/>
      <c r="AZ247" s="182"/>
      <c r="BA247" s="182"/>
      <c r="BB247" s="182"/>
    </row>
    <row r="248" spans="1:54" ht="15.75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  <c r="AC248" s="182"/>
      <c r="AD248" s="182"/>
      <c r="AE248" s="182"/>
      <c r="AF248" s="182"/>
      <c r="AG248" s="182"/>
      <c r="AH248" s="182"/>
      <c r="AI248" s="182"/>
      <c r="AJ248" s="182"/>
      <c r="AK248" s="182"/>
      <c r="AL248" s="182"/>
      <c r="AM248" s="182"/>
      <c r="AN248" s="182"/>
      <c r="AO248" s="182"/>
      <c r="AP248" s="182"/>
      <c r="AQ248" s="182"/>
      <c r="AR248" s="182"/>
      <c r="AS248" s="182"/>
      <c r="AT248" s="182"/>
      <c r="AU248" s="182"/>
      <c r="AV248" s="182"/>
      <c r="AW248" s="182"/>
      <c r="AX248" s="182"/>
      <c r="AY248" s="182"/>
      <c r="AZ248" s="182"/>
      <c r="BA248" s="182"/>
      <c r="BB248" s="182"/>
    </row>
    <row r="249" spans="1:54" ht="15.75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  <c r="AC249" s="182"/>
      <c r="AD249" s="182"/>
      <c r="AE249" s="182"/>
      <c r="AF249" s="182"/>
      <c r="AG249" s="182"/>
      <c r="AH249" s="182"/>
      <c r="AI249" s="182"/>
      <c r="AJ249" s="182"/>
      <c r="AK249" s="182"/>
      <c r="AL249" s="182"/>
      <c r="AM249" s="182"/>
      <c r="AN249" s="182"/>
      <c r="AO249" s="182"/>
      <c r="AP249" s="182"/>
      <c r="AQ249" s="182"/>
      <c r="AR249" s="182"/>
      <c r="AS249" s="182"/>
      <c r="AT249" s="182"/>
      <c r="AU249" s="182"/>
      <c r="AV249" s="182"/>
      <c r="AW249" s="182"/>
      <c r="AX249" s="182"/>
      <c r="AY249" s="182"/>
      <c r="AZ249" s="182"/>
      <c r="BA249" s="182"/>
      <c r="BB249" s="182"/>
    </row>
    <row r="250" spans="1:54" ht="15.75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  <c r="AC250" s="182"/>
      <c r="AD250" s="182"/>
      <c r="AE250" s="182"/>
      <c r="AF250" s="182"/>
      <c r="AG250" s="182"/>
      <c r="AH250" s="182"/>
      <c r="AI250" s="182"/>
      <c r="AJ250" s="182"/>
      <c r="AK250" s="182"/>
      <c r="AL250" s="182"/>
      <c r="AM250" s="182"/>
      <c r="AN250" s="182"/>
      <c r="AO250" s="182"/>
      <c r="AP250" s="182"/>
      <c r="AQ250" s="182"/>
      <c r="AR250" s="182"/>
      <c r="AS250" s="182"/>
      <c r="AT250" s="182"/>
      <c r="AU250" s="182"/>
      <c r="AV250" s="182"/>
      <c r="AW250" s="182"/>
      <c r="AX250" s="182"/>
      <c r="AY250" s="182"/>
      <c r="AZ250" s="182"/>
      <c r="BA250" s="182"/>
      <c r="BB250" s="182"/>
    </row>
    <row r="251" spans="1:54" ht="15.75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  <c r="AC251" s="182"/>
      <c r="AD251" s="182"/>
      <c r="AE251" s="182"/>
      <c r="AF251" s="182"/>
      <c r="AG251" s="182"/>
      <c r="AH251" s="182"/>
      <c r="AI251" s="182"/>
      <c r="AJ251" s="182"/>
      <c r="AK251" s="182"/>
      <c r="AL251" s="182"/>
      <c r="AM251" s="182"/>
      <c r="AN251" s="182"/>
      <c r="AO251" s="182"/>
      <c r="AP251" s="182"/>
      <c r="AQ251" s="182"/>
      <c r="AR251" s="182"/>
      <c r="AS251" s="182"/>
      <c r="AT251" s="182"/>
      <c r="AU251" s="182"/>
      <c r="AV251" s="182"/>
      <c r="AW251" s="182"/>
      <c r="AX251" s="182"/>
      <c r="AY251" s="182"/>
      <c r="AZ251" s="182"/>
      <c r="BA251" s="182"/>
      <c r="BB251" s="182"/>
    </row>
    <row r="252" spans="1:54" ht="15.75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  <c r="AC252" s="182"/>
      <c r="AD252" s="182"/>
      <c r="AE252" s="182"/>
      <c r="AF252" s="182"/>
      <c r="AG252" s="182"/>
      <c r="AH252" s="182"/>
      <c r="AI252" s="182"/>
      <c r="AJ252" s="182"/>
      <c r="AK252" s="182"/>
      <c r="AL252" s="182"/>
      <c r="AM252" s="182"/>
      <c r="AN252" s="182"/>
      <c r="AO252" s="182"/>
      <c r="AP252" s="182"/>
      <c r="AQ252" s="182"/>
      <c r="AR252" s="182"/>
      <c r="AS252" s="182"/>
      <c r="AT252" s="182"/>
      <c r="AU252" s="182"/>
      <c r="AV252" s="182"/>
      <c r="AW252" s="182"/>
      <c r="AX252" s="182"/>
      <c r="AY252" s="182"/>
      <c r="AZ252" s="182"/>
      <c r="BA252" s="182"/>
      <c r="BB252" s="182"/>
    </row>
    <row r="253" spans="1:54" ht="15.75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  <c r="AC253" s="182"/>
      <c r="AD253" s="182"/>
      <c r="AE253" s="182"/>
      <c r="AF253" s="182"/>
      <c r="AG253" s="182"/>
      <c r="AH253" s="182"/>
      <c r="AI253" s="182"/>
      <c r="AJ253" s="182"/>
      <c r="AK253" s="182"/>
      <c r="AL253" s="182"/>
      <c r="AM253" s="182"/>
      <c r="AN253" s="182"/>
      <c r="AO253" s="182"/>
      <c r="AP253" s="182"/>
      <c r="AQ253" s="182"/>
      <c r="AR253" s="182"/>
      <c r="AS253" s="182"/>
      <c r="AT253" s="182"/>
      <c r="AU253" s="182"/>
      <c r="AV253" s="182"/>
      <c r="AW253" s="182"/>
      <c r="AX253" s="182"/>
      <c r="AY253" s="182"/>
      <c r="AZ253" s="182"/>
      <c r="BA253" s="182"/>
      <c r="BB253" s="182"/>
    </row>
    <row r="254" spans="1:54" ht="15.75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  <c r="AC254" s="182"/>
      <c r="AD254" s="182"/>
      <c r="AE254" s="182"/>
      <c r="AF254" s="182"/>
      <c r="AG254" s="182"/>
      <c r="AH254" s="182"/>
      <c r="AI254" s="182"/>
      <c r="AJ254" s="182"/>
      <c r="AK254" s="182"/>
      <c r="AL254" s="182"/>
      <c r="AM254" s="182"/>
      <c r="AN254" s="182"/>
      <c r="AO254" s="182"/>
      <c r="AP254" s="182"/>
      <c r="AQ254" s="182"/>
      <c r="AR254" s="182"/>
      <c r="AS254" s="182"/>
      <c r="AT254" s="182"/>
      <c r="AU254" s="182"/>
      <c r="AV254" s="182"/>
      <c r="AW254" s="182"/>
      <c r="AX254" s="182"/>
      <c r="AY254" s="182"/>
      <c r="AZ254" s="182"/>
      <c r="BA254" s="182"/>
      <c r="BB254" s="182"/>
    </row>
    <row r="255" spans="1:54" ht="15.75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  <c r="AC255" s="182"/>
      <c r="AD255" s="182"/>
      <c r="AE255" s="182"/>
      <c r="AF255" s="182"/>
      <c r="AG255" s="182"/>
      <c r="AH255" s="182"/>
      <c r="AI255" s="182"/>
      <c r="AJ255" s="182"/>
      <c r="AK255" s="182"/>
      <c r="AL255" s="182"/>
      <c r="AM255" s="182"/>
      <c r="AN255" s="182"/>
      <c r="AO255" s="182"/>
      <c r="AP255" s="182"/>
      <c r="AQ255" s="182"/>
      <c r="AR255" s="182"/>
      <c r="AS255" s="182"/>
      <c r="AT255" s="182"/>
      <c r="AU255" s="182"/>
      <c r="AV255" s="182"/>
      <c r="AW255" s="182"/>
      <c r="AX255" s="182"/>
      <c r="AY255" s="182"/>
      <c r="AZ255" s="182"/>
      <c r="BA255" s="182"/>
      <c r="BB255" s="182"/>
    </row>
    <row r="256" spans="1:54" ht="15.75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  <c r="AC256" s="182"/>
      <c r="AD256" s="182"/>
      <c r="AE256" s="182"/>
      <c r="AF256" s="182"/>
      <c r="AG256" s="182"/>
      <c r="AH256" s="182"/>
      <c r="AI256" s="182"/>
      <c r="AJ256" s="182"/>
      <c r="AK256" s="182"/>
      <c r="AL256" s="182"/>
      <c r="AM256" s="182"/>
      <c r="AN256" s="182"/>
      <c r="AO256" s="182"/>
      <c r="AP256" s="182"/>
      <c r="AQ256" s="182"/>
      <c r="AR256" s="182"/>
      <c r="AS256" s="182"/>
      <c r="AT256" s="182"/>
      <c r="AU256" s="182"/>
      <c r="AV256" s="182"/>
      <c r="AW256" s="182"/>
      <c r="AX256" s="182"/>
      <c r="AY256" s="182"/>
      <c r="AZ256" s="182"/>
      <c r="BA256" s="182"/>
      <c r="BB256" s="182"/>
    </row>
    <row r="257" spans="1:54" ht="15.75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  <c r="AC257" s="182"/>
      <c r="AD257" s="182"/>
      <c r="AE257" s="182"/>
      <c r="AF257" s="182"/>
      <c r="AG257" s="182"/>
      <c r="AH257" s="182"/>
      <c r="AI257" s="182"/>
      <c r="AJ257" s="182"/>
      <c r="AK257" s="182"/>
      <c r="AL257" s="182"/>
      <c r="AM257" s="182"/>
      <c r="AN257" s="182"/>
      <c r="AO257" s="182"/>
      <c r="AP257" s="182"/>
      <c r="AQ257" s="182"/>
      <c r="AR257" s="182"/>
      <c r="AS257" s="182"/>
      <c r="AT257" s="182"/>
      <c r="AU257" s="182"/>
      <c r="AV257" s="182"/>
      <c r="AW257" s="182"/>
      <c r="AX257" s="182"/>
      <c r="AY257" s="182"/>
      <c r="AZ257" s="182"/>
      <c r="BA257" s="182"/>
      <c r="BB257" s="182"/>
    </row>
    <row r="258" spans="1:54" ht="15.75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  <c r="AC258" s="182"/>
      <c r="AD258" s="182"/>
      <c r="AE258" s="182"/>
      <c r="AF258" s="182"/>
      <c r="AG258" s="182"/>
      <c r="AH258" s="182"/>
      <c r="AI258" s="182"/>
      <c r="AJ258" s="182"/>
      <c r="AK258" s="182"/>
      <c r="AL258" s="182"/>
      <c r="AM258" s="182"/>
      <c r="AN258" s="182"/>
      <c r="AO258" s="182"/>
      <c r="AP258" s="182"/>
      <c r="AQ258" s="182"/>
      <c r="AR258" s="182"/>
      <c r="AS258" s="182"/>
      <c r="AT258" s="182"/>
      <c r="AU258" s="182"/>
      <c r="AV258" s="182"/>
      <c r="AW258" s="182"/>
      <c r="AX258" s="182"/>
      <c r="AY258" s="182"/>
      <c r="AZ258" s="182"/>
      <c r="BA258" s="182"/>
      <c r="BB258" s="182"/>
    </row>
    <row r="259" spans="1:54" ht="15.75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  <c r="AC259" s="182"/>
      <c r="AD259" s="182"/>
      <c r="AE259" s="182"/>
      <c r="AF259" s="182"/>
      <c r="AG259" s="182"/>
      <c r="AH259" s="182"/>
      <c r="AI259" s="182"/>
      <c r="AJ259" s="182"/>
      <c r="AK259" s="182"/>
      <c r="AL259" s="182"/>
      <c r="AM259" s="182"/>
      <c r="AN259" s="182"/>
      <c r="AO259" s="182"/>
      <c r="AP259" s="182"/>
      <c r="AQ259" s="182"/>
      <c r="AR259" s="182"/>
      <c r="AS259" s="182"/>
      <c r="AT259" s="182"/>
      <c r="AU259" s="182"/>
      <c r="AV259" s="182"/>
      <c r="AW259" s="182"/>
      <c r="AX259" s="182"/>
      <c r="AY259" s="182"/>
      <c r="AZ259" s="182"/>
      <c r="BA259" s="182"/>
      <c r="BB259" s="182"/>
    </row>
    <row r="260" spans="1:54" ht="15.75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  <c r="AC260" s="182"/>
      <c r="AD260" s="182"/>
      <c r="AE260" s="182"/>
      <c r="AF260" s="182"/>
      <c r="AG260" s="182"/>
      <c r="AH260" s="182"/>
      <c r="AI260" s="182"/>
      <c r="AJ260" s="182"/>
      <c r="AK260" s="182"/>
      <c r="AL260" s="182"/>
      <c r="AM260" s="182"/>
      <c r="AN260" s="182"/>
      <c r="AO260" s="182"/>
      <c r="AP260" s="182"/>
      <c r="AQ260" s="182"/>
      <c r="AR260" s="182"/>
      <c r="AS260" s="182"/>
      <c r="AT260" s="182"/>
      <c r="AU260" s="182"/>
      <c r="AV260" s="182"/>
      <c r="AW260" s="182"/>
      <c r="AX260" s="182"/>
      <c r="AY260" s="182"/>
      <c r="AZ260" s="182"/>
      <c r="BA260" s="182"/>
      <c r="BB260" s="182"/>
    </row>
    <row r="261" spans="1:54" ht="15.75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  <c r="AC261" s="182"/>
      <c r="AD261" s="182"/>
      <c r="AE261" s="182"/>
      <c r="AF261" s="182"/>
      <c r="AG261" s="182"/>
      <c r="AH261" s="182"/>
      <c r="AI261" s="182"/>
      <c r="AJ261" s="182"/>
      <c r="AK261" s="182"/>
      <c r="AL261" s="182"/>
      <c r="AM261" s="182"/>
      <c r="AN261" s="182"/>
      <c r="AO261" s="182"/>
      <c r="AP261" s="182"/>
      <c r="AQ261" s="182"/>
      <c r="AR261" s="182"/>
      <c r="AS261" s="182"/>
      <c r="AT261" s="182"/>
      <c r="AU261" s="182"/>
      <c r="AV261" s="182"/>
      <c r="AW261" s="182"/>
      <c r="AX261" s="182"/>
      <c r="AY261" s="182"/>
      <c r="AZ261" s="182"/>
      <c r="BA261" s="182"/>
      <c r="BB261" s="182"/>
    </row>
    <row r="262" spans="1:54" ht="15.75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  <c r="AC262" s="182"/>
      <c r="AD262" s="182"/>
      <c r="AE262" s="182"/>
      <c r="AF262" s="182"/>
      <c r="AG262" s="182"/>
      <c r="AH262" s="182"/>
      <c r="AI262" s="182"/>
      <c r="AJ262" s="182"/>
      <c r="AK262" s="182"/>
      <c r="AL262" s="182"/>
      <c r="AM262" s="182"/>
      <c r="AN262" s="182"/>
      <c r="AO262" s="182"/>
      <c r="AP262" s="182"/>
      <c r="AQ262" s="182"/>
      <c r="AR262" s="182"/>
      <c r="AS262" s="182"/>
      <c r="AT262" s="182"/>
      <c r="AU262" s="182"/>
      <c r="AV262" s="182"/>
      <c r="AW262" s="182"/>
      <c r="AX262" s="182"/>
      <c r="AY262" s="182"/>
      <c r="AZ262" s="182"/>
      <c r="BA262" s="182"/>
      <c r="BB262" s="182"/>
    </row>
    <row r="263" spans="1:54" ht="15.75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  <c r="AC263" s="182"/>
      <c r="AD263" s="182"/>
      <c r="AE263" s="182"/>
      <c r="AF263" s="182"/>
      <c r="AG263" s="182"/>
      <c r="AH263" s="182"/>
      <c r="AI263" s="182"/>
      <c r="AJ263" s="182"/>
      <c r="AK263" s="182"/>
      <c r="AL263" s="182"/>
      <c r="AM263" s="182"/>
      <c r="AN263" s="182"/>
      <c r="AO263" s="182"/>
      <c r="AP263" s="182"/>
      <c r="AQ263" s="182"/>
      <c r="AR263" s="182"/>
      <c r="AS263" s="182"/>
      <c r="AT263" s="182"/>
      <c r="AU263" s="182"/>
      <c r="AV263" s="182"/>
      <c r="AW263" s="182"/>
      <c r="AX263" s="182"/>
      <c r="AY263" s="182"/>
      <c r="AZ263" s="182"/>
      <c r="BA263" s="182"/>
      <c r="BB263" s="182"/>
    </row>
    <row r="264" spans="1:54" ht="15.75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  <c r="AC264" s="182"/>
      <c r="AD264" s="182"/>
      <c r="AE264" s="182"/>
      <c r="AF264" s="182"/>
      <c r="AG264" s="182"/>
      <c r="AH264" s="182"/>
      <c r="AI264" s="182"/>
      <c r="AJ264" s="182"/>
      <c r="AK264" s="182"/>
      <c r="AL264" s="182"/>
      <c r="AM264" s="182"/>
      <c r="AN264" s="182"/>
      <c r="AO264" s="182"/>
      <c r="AP264" s="182"/>
      <c r="AQ264" s="182"/>
      <c r="AR264" s="182"/>
      <c r="AS264" s="182"/>
      <c r="AT264" s="182"/>
      <c r="AU264" s="182"/>
      <c r="AV264" s="182"/>
      <c r="AW264" s="182"/>
      <c r="AX264" s="182"/>
      <c r="AY264" s="182"/>
      <c r="AZ264" s="182"/>
      <c r="BA264" s="182"/>
      <c r="BB264" s="182"/>
    </row>
    <row r="265" spans="1:54" ht="15.75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  <c r="AC265" s="182"/>
      <c r="AD265" s="182"/>
      <c r="AE265" s="182"/>
      <c r="AF265" s="182"/>
      <c r="AG265" s="182"/>
      <c r="AH265" s="182"/>
      <c r="AI265" s="182"/>
      <c r="AJ265" s="182"/>
      <c r="AK265" s="182"/>
      <c r="AL265" s="182"/>
      <c r="AM265" s="182"/>
      <c r="AN265" s="182"/>
      <c r="AO265" s="182"/>
      <c r="AP265" s="182"/>
      <c r="AQ265" s="182"/>
      <c r="AR265" s="182"/>
      <c r="AS265" s="182"/>
      <c r="AT265" s="182"/>
      <c r="AU265" s="182"/>
      <c r="AV265" s="182"/>
      <c r="AW265" s="182"/>
      <c r="AX265" s="182"/>
      <c r="AY265" s="182"/>
      <c r="AZ265" s="182"/>
      <c r="BA265" s="182"/>
      <c r="BB265" s="182"/>
    </row>
    <row r="266" spans="1:54" ht="15.75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  <c r="AC266" s="182"/>
      <c r="AD266" s="182"/>
      <c r="AE266" s="182"/>
      <c r="AF266" s="182"/>
      <c r="AG266" s="182"/>
      <c r="AH266" s="182"/>
      <c r="AI266" s="182"/>
      <c r="AJ266" s="182"/>
      <c r="AK266" s="182"/>
      <c r="AL266" s="182"/>
      <c r="AM266" s="182"/>
      <c r="AN266" s="182"/>
      <c r="AO266" s="182"/>
      <c r="AP266" s="182"/>
      <c r="AQ266" s="182"/>
      <c r="AR266" s="182"/>
      <c r="AS266" s="182"/>
      <c r="AT266" s="182"/>
      <c r="AU266" s="182"/>
      <c r="AV266" s="182"/>
      <c r="AW266" s="182"/>
      <c r="AX266" s="182"/>
      <c r="AY266" s="182"/>
      <c r="AZ266" s="182"/>
      <c r="BA266" s="182"/>
      <c r="BB266" s="182"/>
    </row>
    <row r="267" spans="1:54" ht="15.75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  <c r="AC267" s="182"/>
      <c r="AD267" s="182"/>
      <c r="AE267" s="182"/>
      <c r="AF267" s="182"/>
      <c r="AG267" s="182"/>
      <c r="AH267" s="182"/>
      <c r="AI267" s="182"/>
      <c r="AJ267" s="182"/>
      <c r="AK267" s="182"/>
      <c r="AL267" s="182"/>
      <c r="AM267" s="182"/>
      <c r="AN267" s="182"/>
      <c r="AO267" s="182"/>
      <c r="AP267" s="182"/>
      <c r="AQ267" s="182"/>
      <c r="AR267" s="182"/>
      <c r="AS267" s="182"/>
      <c r="AT267" s="182"/>
      <c r="AU267" s="182"/>
      <c r="AV267" s="182"/>
      <c r="AW267" s="182"/>
      <c r="AX267" s="182"/>
      <c r="AY267" s="182"/>
      <c r="AZ267" s="182"/>
      <c r="BA267" s="182"/>
      <c r="BB267" s="182"/>
    </row>
    <row r="268" spans="1:54" ht="15.75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  <c r="AC268" s="182"/>
      <c r="AD268" s="182"/>
      <c r="AE268" s="182"/>
      <c r="AF268" s="182"/>
      <c r="AG268" s="182"/>
      <c r="AH268" s="182"/>
      <c r="AI268" s="182"/>
      <c r="AJ268" s="182"/>
      <c r="AK268" s="182"/>
      <c r="AL268" s="182"/>
      <c r="AM268" s="182"/>
      <c r="AN268" s="182"/>
      <c r="AO268" s="182"/>
      <c r="AP268" s="182"/>
      <c r="AQ268" s="182"/>
      <c r="AR268" s="182"/>
      <c r="AS268" s="182"/>
      <c r="AT268" s="182"/>
      <c r="AU268" s="182"/>
      <c r="AV268" s="182"/>
      <c r="AW268" s="182"/>
      <c r="AX268" s="182"/>
      <c r="AY268" s="182"/>
      <c r="AZ268" s="182"/>
      <c r="BA268" s="182"/>
      <c r="BB268" s="182"/>
    </row>
    <row r="269" spans="1:54" ht="15.75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  <c r="AC269" s="182"/>
      <c r="AD269" s="182"/>
      <c r="AE269" s="182"/>
      <c r="AF269" s="182"/>
      <c r="AG269" s="182"/>
      <c r="AH269" s="182"/>
      <c r="AI269" s="182"/>
      <c r="AJ269" s="182"/>
      <c r="AK269" s="182"/>
      <c r="AL269" s="182"/>
      <c r="AM269" s="182"/>
      <c r="AN269" s="182"/>
      <c r="AO269" s="182"/>
      <c r="AP269" s="182"/>
      <c r="AQ269" s="182"/>
      <c r="AR269" s="182"/>
      <c r="AS269" s="182"/>
      <c r="AT269" s="182"/>
      <c r="AU269" s="182"/>
      <c r="AV269" s="182"/>
      <c r="AW269" s="182"/>
      <c r="AX269" s="182"/>
      <c r="AY269" s="182"/>
      <c r="AZ269" s="182"/>
      <c r="BA269" s="182"/>
      <c r="BB269" s="182"/>
    </row>
    <row r="270" spans="1:54" ht="15.75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  <c r="AK270" s="182"/>
      <c r="AL270" s="182"/>
      <c r="AM270" s="182"/>
      <c r="AN270" s="182"/>
      <c r="AO270" s="182"/>
      <c r="AP270" s="182"/>
      <c r="AQ270" s="182"/>
      <c r="AR270" s="182"/>
      <c r="AS270" s="182"/>
      <c r="AT270" s="182"/>
      <c r="AU270" s="182"/>
      <c r="AV270" s="182"/>
      <c r="AW270" s="182"/>
      <c r="AX270" s="182"/>
      <c r="AY270" s="182"/>
      <c r="AZ270" s="182"/>
      <c r="BA270" s="182"/>
      <c r="BB270" s="182"/>
    </row>
    <row r="271" spans="1:54" ht="15.75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  <c r="AC271" s="182"/>
      <c r="AD271" s="182"/>
      <c r="AE271" s="182"/>
      <c r="AF271" s="182"/>
      <c r="AG271" s="182"/>
      <c r="AH271" s="182"/>
      <c r="AI271" s="182"/>
      <c r="AJ271" s="182"/>
      <c r="AK271" s="182"/>
      <c r="AL271" s="182"/>
      <c r="AM271" s="182"/>
      <c r="AN271" s="182"/>
      <c r="AO271" s="182"/>
      <c r="AP271" s="182"/>
      <c r="AQ271" s="182"/>
      <c r="AR271" s="182"/>
      <c r="AS271" s="182"/>
      <c r="AT271" s="182"/>
      <c r="AU271" s="182"/>
      <c r="AV271" s="182"/>
      <c r="AW271" s="182"/>
      <c r="AX271" s="182"/>
      <c r="AY271" s="182"/>
      <c r="AZ271" s="182"/>
      <c r="BA271" s="182"/>
      <c r="BB271" s="182"/>
    </row>
    <row r="272" spans="1:54" ht="15.75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  <c r="AC272" s="182"/>
      <c r="AD272" s="182"/>
      <c r="AE272" s="182"/>
      <c r="AF272" s="182"/>
      <c r="AG272" s="182"/>
      <c r="AH272" s="182"/>
      <c r="AI272" s="182"/>
      <c r="AJ272" s="182"/>
      <c r="AK272" s="182"/>
      <c r="AL272" s="182"/>
      <c r="AM272" s="182"/>
      <c r="AN272" s="182"/>
      <c r="AO272" s="182"/>
      <c r="AP272" s="182"/>
      <c r="AQ272" s="182"/>
      <c r="AR272" s="182"/>
      <c r="AS272" s="182"/>
      <c r="AT272" s="182"/>
      <c r="AU272" s="182"/>
      <c r="AV272" s="182"/>
      <c r="AW272" s="182"/>
      <c r="AX272" s="182"/>
      <c r="AY272" s="182"/>
      <c r="AZ272" s="182"/>
      <c r="BA272" s="182"/>
      <c r="BB272" s="182"/>
    </row>
    <row r="273" spans="1:54" ht="15.75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  <c r="AC273" s="182"/>
      <c r="AD273" s="182"/>
      <c r="AE273" s="182"/>
      <c r="AF273" s="182"/>
      <c r="AG273" s="182"/>
      <c r="AH273" s="182"/>
      <c r="AI273" s="182"/>
      <c r="AJ273" s="182"/>
      <c r="AK273" s="182"/>
      <c r="AL273" s="182"/>
      <c r="AM273" s="182"/>
      <c r="AN273" s="182"/>
      <c r="AO273" s="182"/>
      <c r="AP273" s="182"/>
      <c r="AQ273" s="182"/>
      <c r="AR273" s="182"/>
      <c r="AS273" s="182"/>
      <c r="AT273" s="182"/>
      <c r="AU273" s="182"/>
      <c r="AV273" s="182"/>
      <c r="AW273" s="182"/>
      <c r="AX273" s="182"/>
      <c r="AY273" s="182"/>
      <c r="AZ273" s="182"/>
      <c r="BA273" s="182"/>
      <c r="BB273" s="182"/>
    </row>
    <row r="274" spans="1:54" ht="15.75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  <c r="AC274" s="182"/>
      <c r="AD274" s="182"/>
      <c r="AE274" s="182"/>
      <c r="AF274" s="182"/>
      <c r="AG274" s="182"/>
      <c r="AH274" s="182"/>
      <c r="AI274" s="182"/>
      <c r="AJ274" s="182"/>
      <c r="AK274" s="182"/>
      <c r="AL274" s="182"/>
      <c r="AM274" s="182"/>
      <c r="AN274" s="182"/>
      <c r="AO274" s="182"/>
      <c r="AP274" s="182"/>
      <c r="AQ274" s="182"/>
      <c r="AR274" s="182"/>
      <c r="AS274" s="182"/>
      <c r="AT274" s="182"/>
      <c r="AU274" s="182"/>
      <c r="AV274" s="182"/>
      <c r="AW274" s="182"/>
      <c r="AX274" s="182"/>
      <c r="AY274" s="182"/>
      <c r="AZ274" s="182"/>
      <c r="BA274" s="182"/>
      <c r="BB274" s="182"/>
    </row>
    <row r="275" spans="1:54" ht="15.75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  <c r="AC275" s="182"/>
      <c r="AD275" s="182"/>
      <c r="AE275" s="182"/>
      <c r="AF275" s="182"/>
      <c r="AG275" s="182"/>
      <c r="AH275" s="182"/>
      <c r="AI275" s="182"/>
      <c r="AJ275" s="182"/>
      <c r="AK275" s="182"/>
      <c r="AL275" s="182"/>
      <c r="AM275" s="182"/>
      <c r="AN275" s="182"/>
      <c r="AO275" s="182"/>
      <c r="AP275" s="182"/>
      <c r="AQ275" s="182"/>
      <c r="AR275" s="182"/>
      <c r="AS275" s="182"/>
      <c r="AT275" s="182"/>
      <c r="AU275" s="182"/>
      <c r="AV275" s="182"/>
      <c r="AW275" s="182"/>
      <c r="AX275" s="182"/>
      <c r="AY275" s="182"/>
      <c r="AZ275" s="182"/>
      <c r="BA275" s="182"/>
      <c r="BB275" s="182"/>
    </row>
    <row r="276" spans="1:54" ht="15.75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  <c r="AC276" s="182"/>
      <c r="AD276" s="182"/>
      <c r="AE276" s="182"/>
      <c r="AF276" s="182"/>
      <c r="AG276" s="182"/>
      <c r="AH276" s="182"/>
      <c r="AI276" s="182"/>
      <c r="AJ276" s="182"/>
      <c r="AK276" s="182"/>
      <c r="AL276" s="182"/>
      <c r="AM276" s="182"/>
      <c r="AN276" s="182"/>
      <c r="AO276" s="182"/>
      <c r="AP276" s="182"/>
      <c r="AQ276" s="182"/>
      <c r="AR276" s="182"/>
      <c r="AS276" s="182"/>
      <c r="AT276" s="182"/>
      <c r="AU276" s="182"/>
      <c r="AV276" s="182"/>
      <c r="AW276" s="182"/>
      <c r="AX276" s="182"/>
      <c r="AY276" s="182"/>
      <c r="AZ276" s="182"/>
      <c r="BA276" s="182"/>
      <c r="BB276" s="182"/>
    </row>
    <row r="277" spans="1:54" ht="15.75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  <c r="AC277" s="182"/>
      <c r="AD277" s="182"/>
      <c r="AE277" s="182"/>
      <c r="AF277" s="182"/>
      <c r="AG277" s="182"/>
      <c r="AH277" s="182"/>
      <c r="AI277" s="182"/>
      <c r="AJ277" s="182"/>
      <c r="AK277" s="182"/>
      <c r="AL277" s="182"/>
      <c r="AM277" s="182"/>
      <c r="AN277" s="182"/>
      <c r="AO277" s="182"/>
      <c r="AP277" s="182"/>
      <c r="AQ277" s="182"/>
      <c r="AR277" s="182"/>
      <c r="AS277" s="182"/>
      <c r="AT277" s="182"/>
      <c r="AU277" s="182"/>
      <c r="AV277" s="182"/>
      <c r="AW277" s="182"/>
      <c r="AX277" s="182"/>
      <c r="AY277" s="182"/>
      <c r="AZ277" s="182"/>
      <c r="BA277" s="182"/>
      <c r="BB277" s="182"/>
    </row>
    <row r="278" spans="1:54" ht="15.75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  <c r="AC278" s="182"/>
      <c r="AD278" s="182"/>
      <c r="AE278" s="182"/>
      <c r="AF278" s="182"/>
      <c r="AG278" s="182"/>
      <c r="AH278" s="182"/>
      <c r="AI278" s="182"/>
      <c r="AJ278" s="182"/>
      <c r="AK278" s="182"/>
      <c r="AL278" s="182"/>
      <c r="AM278" s="182"/>
      <c r="AN278" s="182"/>
      <c r="AO278" s="182"/>
      <c r="AP278" s="182"/>
      <c r="AQ278" s="182"/>
      <c r="AR278" s="182"/>
      <c r="AS278" s="182"/>
      <c r="AT278" s="182"/>
      <c r="AU278" s="182"/>
      <c r="AV278" s="182"/>
      <c r="AW278" s="182"/>
      <c r="AX278" s="182"/>
      <c r="AY278" s="182"/>
      <c r="AZ278" s="182"/>
      <c r="BA278" s="182"/>
      <c r="BB278" s="182"/>
    </row>
    <row r="279" spans="1:54" ht="15.75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  <c r="AC279" s="182"/>
      <c r="AD279" s="182"/>
      <c r="AE279" s="182"/>
      <c r="AF279" s="182"/>
      <c r="AG279" s="182"/>
      <c r="AH279" s="182"/>
      <c r="AI279" s="182"/>
      <c r="AJ279" s="182"/>
      <c r="AK279" s="182"/>
      <c r="AL279" s="182"/>
      <c r="AM279" s="182"/>
      <c r="AN279" s="182"/>
      <c r="AO279" s="182"/>
      <c r="AP279" s="182"/>
      <c r="AQ279" s="182"/>
      <c r="AR279" s="182"/>
      <c r="AS279" s="182"/>
      <c r="AT279" s="182"/>
      <c r="AU279" s="182"/>
      <c r="AV279" s="182"/>
      <c r="AW279" s="182"/>
      <c r="AX279" s="182"/>
      <c r="AY279" s="182"/>
      <c r="AZ279" s="182"/>
      <c r="BA279" s="182"/>
      <c r="BB279" s="182"/>
    </row>
    <row r="280" spans="1:54" ht="15.75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  <c r="AC280" s="182"/>
      <c r="AD280" s="182"/>
      <c r="AE280" s="182"/>
      <c r="AF280" s="182"/>
      <c r="AG280" s="182"/>
      <c r="AH280" s="182"/>
      <c r="AI280" s="182"/>
      <c r="AJ280" s="182"/>
      <c r="AK280" s="182"/>
      <c r="AL280" s="182"/>
      <c r="AM280" s="182"/>
      <c r="AN280" s="182"/>
      <c r="AO280" s="182"/>
      <c r="AP280" s="182"/>
      <c r="AQ280" s="182"/>
      <c r="AR280" s="182"/>
      <c r="AS280" s="182"/>
      <c r="AT280" s="182"/>
      <c r="AU280" s="182"/>
      <c r="AV280" s="182"/>
      <c r="AW280" s="182"/>
      <c r="AX280" s="182"/>
      <c r="AY280" s="182"/>
      <c r="AZ280" s="182"/>
      <c r="BA280" s="182"/>
      <c r="BB280" s="182"/>
    </row>
    <row r="281" spans="1:54" ht="15.75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  <c r="AC281" s="182"/>
      <c r="AD281" s="182"/>
      <c r="AE281" s="182"/>
      <c r="AF281" s="182"/>
      <c r="AG281" s="182"/>
      <c r="AH281" s="182"/>
      <c r="AI281" s="182"/>
      <c r="AJ281" s="182"/>
      <c r="AK281" s="182"/>
      <c r="AL281" s="182"/>
      <c r="AM281" s="182"/>
      <c r="AN281" s="182"/>
      <c r="AO281" s="182"/>
      <c r="AP281" s="182"/>
      <c r="AQ281" s="182"/>
      <c r="AR281" s="182"/>
      <c r="AS281" s="182"/>
      <c r="AT281" s="182"/>
      <c r="AU281" s="182"/>
      <c r="AV281" s="182"/>
      <c r="AW281" s="182"/>
      <c r="AX281" s="182"/>
      <c r="AY281" s="182"/>
      <c r="AZ281" s="182"/>
      <c r="BA281" s="182"/>
      <c r="BB281" s="182"/>
    </row>
    <row r="282" spans="1:54" ht="15.75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  <c r="AC282" s="182"/>
      <c r="AD282" s="182"/>
      <c r="AE282" s="182"/>
      <c r="AF282" s="182"/>
      <c r="AG282" s="182"/>
      <c r="AH282" s="182"/>
      <c r="AI282" s="182"/>
      <c r="AJ282" s="182"/>
      <c r="AK282" s="182"/>
      <c r="AL282" s="182"/>
      <c r="AM282" s="182"/>
      <c r="AN282" s="182"/>
      <c r="AO282" s="182"/>
      <c r="AP282" s="182"/>
      <c r="AQ282" s="182"/>
      <c r="AR282" s="182"/>
      <c r="AS282" s="182"/>
      <c r="AT282" s="182"/>
      <c r="AU282" s="182"/>
      <c r="AV282" s="182"/>
      <c r="AW282" s="182"/>
      <c r="AX282" s="182"/>
      <c r="AY282" s="182"/>
      <c r="AZ282" s="182"/>
      <c r="BA282" s="182"/>
      <c r="BB282" s="182"/>
    </row>
    <row r="283" spans="1:54" ht="15.75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  <c r="AC283" s="182"/>
      <c r="AD283" s="182"/>
      <c r="AE283" s="182"/>
      <c r="AF283" s="182"/>
      <c r="AG283" s="182"/>
      <c r="AH283" s="182"/>
      <c r="AI283" s="182"/>
      <c r="AJ283" s="182"/>
      <c r="AK283" s="182"/>
      <c r="AL283" s="182"/>
      <c r="AM283" s="182"/>
      <c r="AN283" s="182"/>
      <c r="AO283" s="182"/>
      <c r="AP283" s="182"/>
      <c r="AQ283" s="182"/>
      <c r="AR283" s="182"/>
      <c r="AS283" s="182"/>
      <c r="AT283" s="182"/>
      <c r="AU283" s="182"/>
      <c r="AV283" s="182"/>
      <c r="AW283" s="182"/>
      <c r="AX283" s="182"/>
      <c r="AY283" s="182"/>
      <c r="AZ283" s="182"/>
      <c r="BA283" s="182"/>
      <c r="BB283" s="182"/>
    </row>
    <row r="284" spans="1:54" ht="15.75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  <c r="AC284" s="182"/>
      <c r="AD284" s="182"/>
      <c r="AE284" s="182"/>
      <c r="AF284" s="182"/>
      <c r="AG284" s="182"/>
      <c r="AH284" s="182"/>
      <c r="AI284" s="182"/>
      <c r="AJ284" s="182"/>
      <c r="AK284" s="182"/>
      <c r="AL284" s="182"/>
      <c r="AM284" s="182"/>
      <c r="AN284" s="182"/>
      <c r="AO284" s="182"/>
      <c r="AP284" s="182"/>
      <c r="AQ284" s="182"/>
      <c r="AR284" s="182"/>
      <c r="AS284" s="182"/>
      <c r="AT284" s="182"/>
      <c r="AU284" s="182"/>
      <c r="AV284" s="182"/>
      <c r="AW284" s="182"/>
      <c r="AX284" s="182"/>
      <c r="AY284" s="182"/>
      <c r="AZ284" s="182"/>
      <c r="BA284" s="182"/>
      <c r="BB284" s="182"/>
    </row>
    <row r="285" spans="1:54" ht="15.75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  <c r="AC285" s="182"/>
      <c r="AD285" s="182"/>
      <c r="AE285" s="182"/>
      <c r="AF285" s="182"/>
      <c r="AG285" s="182"/>
      <c r="AH285" s="182"/>
      <c r="AI285" s="182"/>
      <c r="AJ285" s="182"/>
      <c r="AK285" s="182"/>
      <c r="AL285" s="182"/>
      <c r="AM285" s="182"/>
      <c r="AN285" s="182"/>
      <c r="AO285" s="182"/>
      <c r="AP285" s="182"/>
      <c r="AQ285" s="182"/>
      <c r="AR285" s="182"/>
      <c r="AS285" s="182"/>
      <c r="AT285" s="182"/>
      <c r="AU285" s="182"/>
      <c r="AV285" s="182"/>
      <c r="AW285" s="182"/>
      <c r="AX285" s="182"/>
      <c r="AY285" s="182"/>
      <c r="AZ285" s="182"/>
      <c r="BA285" s="182"/>
      <c r="BB285" s="182"/>
    </row>
    <row r="286" spans="1:54" ht="15.75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  <c r="AC286" s="182"/>
      <c r="AD286" s="182"/>
      <c r="AE286" s="182"/>
      <c r="AF286" s="182"/>
      <c r="AG286" s="182"/>
      <c r="AH286" s="182"/>
      <c r="AI286" s="182"/>
      <c r="AJ286" s="182"/>
      <c r="AK286" s="182"/>
      <c r="AL286" s="182"/>
      <c r="AM286" s="182"/>
      <c r="AN286" s="182"/>
      <c r="AO286" s="182"/>
      <c r="AP286" s="182"/>
      <c r="AQ286" s="182"/>
      <c r="AR286" s="182"/>
      <c r="AS286" s="182"/>
      <c r="AT286" s="182"/>
      <c r="AU286" s="182"/>
      <c r="AV286" s="182"/>
      <c r="AW286" s="182"/>
      <c r="AX286" s="182"/>
      <c r="AY286" s="182"/>
      <c r="AZ286" s="182"/>
      <c r="BA286" s="182"/>
      <c r="BB286" s="182"/>
    </row>
    <row r="287" spans="1:54" ht="15.75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  <c r="AC287" s="182"/>
      <c r="AD287" s="182"/>
      <c r="AE287" s="182"/>
      <c r="AF287" s="182"/>
      <c r="AG287" s="182"/>
      <c r="AH287" s="182"/>
      <c r="AI287" s="182"/>
      <c r="AJ287" s="182"/>
      <c r="AK287" s="182"/>
      <c r="AL287" s="182"/>
      <c r="AM287" s="182"/>
      <c r="AN287" s="182"/>
      <c r="AO287" s="182"/>
      <c r="AP287" s="182"/>
      <c r="AQ287" s="182"/>
      <c r="AR287" s="182"/>
      <c r="AS287" s="182"/>
      <c r="AT287" s="182"/>
      <c r="AU287" s="182"/>
      <c r="AV287" s="182"/>
      <c r="AW287" s="182"/>
      <c r="AX287" s="182"/>
      <c r="AY287" s="182"/>
      <c r="AZ287" s="182"/>
      <c r="BA287" s="182"/>
      <c r="BB287" s="182"/>
    </row>
    <row r="288" spans="1:54" ht="15.75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  <c r="AC288" s="182"/>
      <c r="AD288" s="182"/>
      <c r="AE288" s="182"/>
      <c r="AF288" s="182"/>
      <c r="AG288" s="182"/>
      <c r="AH288" s="182"/>
      <c r="AI288" s="182"/>
      <c r="AJ288" s="182"/>
      <c r="AK288" s="182"/>
      <c r="AL288" s="182"/>
      <c r="AM288" s="182"/>
      <c r="AN288" s="182"/>
      <c r="AO288" s="182"/>
      <c r="AP288" s="182"/>
      <c r="AQ288" s="182"/>
      <c r="AR288" s="182"/>
      <c r="AS288" s="182"/>
      <c r="AT288" s="182"/>
      <c r="AU288" s="182"/>
      <c r="AV288" s="182"/>
      <c r="AW288" s="182"/>
      <c r="AX288" s="182"/>
      <c r="AY288" s="182"/>
      <c r="AZ288" s="182"/>
      <c r="BA288" s="182"/>
      <c r="BB288" s="182"/>
    </row>
    <row r="289" spans="1:54" ht="15.75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  <c r="AC289" s="182"/>
      <c r="AD289" s="182"/>
      <c r="AE289" s="182"/>
      <c r="AF289" s="182"/>
      <c r="AG289" s="182"/>
      <c r="AH289" s="182"/>
      <c r="AI289" s="182"/>
      <c r="AJ289" s="182"/>
      <c r="AK289" s="182"/>
      <c r="AL289" s="182"/>
      <c r="AM289" s="182"/>
      <c r="AN289" s="182"/>
      <c r="AO289" s="182"/>
      <c r="AP289" s="182"/>
      <c r="AQ289" s="182"/>
      <c r="AR289" s="182"/>
      <c r="AS289" s="182"/>
      <c r="AT289" s="182"/>
      <c r="AU289" s="182"/>
      <c r="AV289" s="182"/>
      <c r="AW289" s="182"/>
      <c r="AX289" s="182"/>
      <c r="AY289" s="182"/>
      <c r="AZ289" s="182"/>
      <c r="BA289" s="182"/>
      <c r="BB289" s="182"/>
    </row>
    <row r="290" spans="1:54" ht="15.75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  <c r="AC290" s="182"/>
      <c r="AD290" s="182"/>
      <c r="AE290" s="182"/>
      <c r="AF290" s="182"/>
      <c r="AG290" s="182"/>
      <c r="AH290" s="182"/>
      <c r="AI290" s="182"/>
      <c r="AJ290" s="182"/>
      <c r="AK290" s="182"/>
      <c r="AL290" s="182"/>
      <c r="AM290" s="182"/>
      <c r="AN290" s="182"/>
      <c r="AO290" s="182"/>
      <c r="AP290" s="182"/>
      <c r="AQ290" s="182"/>
      <c r="AR290" s="182"/>
      <c r="AS290" s="182"/>
      <c r="AT290" s="182"/>
      <c r="AU290" s="182"/>
      <c r="AV290" s="182"/>
      <c r="AW290" s="182"/>
      <c r="AX290" s="182"/>
      <c r="AY290" s="182"/>
      <c r="AZ290" s="182"/>
      <c r="BA290" s="182"/>
      <c r="BB290" s="182"/>
    </row>
    <row r="291" spans="1:54" ht="15.75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  <c r="AC291" s="182"/>
      <c r="AD291" s="182"/>
      <c r="AE291" s="182"/>
      <c r="AF291" s="182"/>
      <c r="AG291" s="182"/>
      <c r="AH291" s="182"/>
      <c r="AI291" s="182"/>
      <c r="AJ291" s="182"/>
      <c r="AK291" s="182"/>
      <c r="AL291" s="182"/>
      <c r="AM291" s="182"/>
      <c r="AN291" s="182"/>
      <c r="AO291" s="182"/>
      <c r="AP291" s="182"/>
      <c r="AQ291" s="182"/>
      <c r="AR291" s="182"/>
      <c r="AS291" s="182"/>
      <c r="AT291" s="182"/>
      <c r="AU291" s="182"/>
      <c r="AV291" s="182"/>
      <c r="AW291" s="182"/>
      <c r="AX291" s="182"/>
      <c r="AY291" s="182"/>
      <c r="AZ291" s="182"/>
      <c r="BA291" s="182"/>
      <c r="BB291" s="182"/>
    </row>
    <row r="292" spans="1:54" ht="15.75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  <c r="AC292" s="182"/>
      <c r="AD292" s="182"/>
      <c r="AE292" s="182"/>
      <c r="AF292" s="182"/>
      <c r="AG292" s="182"/>
      <c r="AH292" s="182"/>
      <c r="AI292" s="182"/>
      <c r="AJ292" s="182"/>
      <c r="AK292" s="182"/>
      <c r="AL292" s="182"/>
      <c r="AM292" s="182"/>
      <c r="AN292" s="182"/>
      <c r="AO292" s="182"/>
      <c r="AP292" s="182"/>
      <c r="AQ292" s="182"/>
      <c r="AR292" s="182"/>
      <c r="AS292" s="182"/>
      <c r="AT292" s="182"/>
      <c r="AU292" s="182"/>
      <c r="AV292" s="182"/>
      <c r="AW292" s="182"/>
      <c r="AX292" s="182"/>
      <c r="AY292" s="182"/>
      <c r="AZ292" s="182"/>
      <c r="BA292" s="182"/>
      <c r="BB292" s="182"/>
    </row>
    <row r="293" spans="1:54" ht="15.75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  <c r="AC293" s="182"/>
      <c r="AD293" s="182"/>
      <c r="AE293" s="182"/>
      <c r="AF293" s="182"/>
      <c r="AG293" s="182"/>
      <c r="AH293" s="182"/>
      <c r="AI293" s="182"/>
      <c r="AJ293" s="182"/>
      <c r="AK293" s="182"/>
      <c r="AL293" s="182"/>
      <c r="AM293" s="182"/>
      <c r="AN293" s="182"/>
      <c r="AO293" s="182"/>
      <c r="AP293" s="182"/>
      <c r="AQ293" s="182"/>
      <c r="AR293" s="182"/>
      <c r="AS293" s="182"/>
      <c r="AT293" s="182"/>
      <c r="AU293" s="182"/>
      <c r="AV293" s="182"/>
      <c r="AW293" s="182"/>
      <c r="AX293" s="182"/>
      <c r="AY293" s="182"/>
      <c r="AZ293" s="182"/>
      <c r="BA293" s="182"/>
      <c r="BB293" s="182"/>
    </row>
    <row r="294" spans="1:54" ht="15.75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  <c r="AC294" s="182"/>
      <c r="AD294" s="182"/>
      <c r="AE294" s="182"/>
      <c r="AF294" s="182"/>
      <c r="AG294" s="182"/>
      <c r="AH294" s="182"/>
      <c r="AI294" s="182"/>
      <c r="AJ294" s="182"/>
      <c r="AK294" s="182"/>
      <c r="AL294" s="182"/>
      <c r="AM294" s="182"/>
      <c r="AN294" s="182"/>
      <c r="AO294" s="182"/>
      <c r="AP294" s="182"/>
      <c r="AQ294" s="182"/>
      <c r="AR294" s="182"/>
      <c r="AS294" s="182"/>
      <c r="AT294" s="182"/>
      <c r="AU294" s="182"/>
      <c r="AV294" s="182"/>
      <c r="AW294" s="182"/>
      <c r="AX294" s="182"/>
      <c r="AY294" s="182"/>
      <c r="AZ294" s="182"/>
      <c r="BA294" s="182"/>
      <c r="BB294" s="182"/>
    </row>
    <row r="295" spans="1:54" ht="15.75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  <c r="AC295" s="182"/>
      <c r="AD295" s="182"/>
      <c r="AE295" s="182"/>
      <c r="AF295" s="182"/>
      <c r="AG295" s="182"/>
      <c r="AH295" s="182"/>
      <c r="AI295" s="182"/>
      <c r="AJ295" s="182"/>
      <c r="AK295" s="182"/>
      <c r="AL295" s="182"/>
      <c r="AM295" s="182"/>
      <c r="AN295" s="182"/>
      <c r="AO295" s="182"/>
      <c r="AP295" s="182"/>
      <c r="AQ295" s="182"/>
      <c r="AR295" s="182"/>
      <c r="AS295" s="182"/>
      <c r="AT295" s="182"/>
      <c r="AU295" s="182"/>
      <c r="AV295" s="182"/>
      <c r="AW295" s="182"/>
      <c r="AX295" s="182"/>
      <c r="AY295" s="182"/>
      <c r="AZ295" s="182"/>
      <c r="BA295" s="182"/>
      <c r="BB295" s="182"/>
    </row>
    <row r="296" spans="1:54" ht="15.75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  <c r="AC296" s="182"/>
      <c r="AD296" s="182"/>
      <c r="AE296" s="182"/>
      <c r="AF296" s="182"/>
      <c r="AG296" s="182"/>
      <c r="AH296" s="182"/>
      <c r="AI296" s="182"/>
      <c r="AJ296" s="182"/>
      <c r="AK296" s="182"/>
      <c r="AL296" s="182"/>
      <c r="AM296" s="182"/>
      <c r="AN296" s="182"/>
      <c r="AO296" s="182"/>
      <c r="AP296" s="182"/>
      <c r="AQ296" s="182"/>
      <c r="AR296" s="182"/>
      <c r="AS296" s="182"/>
      <c r="AT296" s="182"/>
      <c r="AU296" s="182"/>
      <c r="AV296" s="182"/>
      <c r="AW296" s="182"/>
      <c r="AX296" s="182"/>
      <c r="AY296" s="182"/>
      <c r="AZ296" s="182"/>
      <c r="BA296" s="182"/>
      <c r="BB296" s="182"/>
    </row>
    <row r="297" spans="1:54" ht="15.75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  <c r="AC297" s="182"/>
      <c r="AD297" s="182"/>
      <c r="AE297" s="182"/>
      <c r="AF297" s="182"/>
      <c r="AG297" s="182"/>
      <c r="AH297" s="182"/>
      <c r="AI297" s="182"/>
      <c r="AJ297" s="182"/>
      <c r="AK297" s="182"/>
      <c r="AL297" s="182"/>
      <c r="AM297" s="182"/>
      <c r="AN297" s="182"/>
      <c r="AO297" s="182"/>
      <c r="AP297" s="182"/>
      <c r="AQ297" s="182"/>
      <c r="AR297" s="182"/>
      <c r="AS297" s="182"/>
      <c r="AT297" s="182"/>
      <c r="AU297" s="182"/>
      <c r="AV297" s="182"/>
      <c r="AW297" s="182"/>
      <c r="AX297" s="182"/>
      <c r="AY297" s="182"/>
      <c r="AZ297" s="182"/>
      <c r="BA297" s="182"/>
      <c r="BB297" s="182"/>
    </row>
    <row r="298" spans="1:54" ht="15.75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  <c r="AC298" s="182"/>
      <c r="AD298" s="182"/>
      <c r="AE298" s="182"/>
      <c r="AF298" s="182"/>
      <c r="AG298" s="182"/>
      <c r="AH298" s="182"/>
      <c r="AI298" s="182"/>
      <c r="AJ298" s="182"/>
      <c r="AK298" s="182"/>
      <c r="AL298" s="182"/>
      <c r="AM298" s="182"/>
      <c r="AN298" s="182"/>
      <c r="AO298" s="182"/>
      <c r="AP298" s="182"/>
      <c r="AQ298" s="182"/>
      <c r="AR298" s="182"/>
      <c r="AS298" s="182"/>
      <c r="AT298" s="182"/>
      <c r="AU298" s="182"/>
      <c r="AV298" s="182"/>
      <c r="AW298" s="182"/>
      <c r="AX298" s="182"/>
      <c r="AY298" s="182"/>
      <c r="AZ298" s="182"/>
      <c r="BA298" s="182"/>
      <c r="BB298" s="182"/>
    </row>
    <row r="299" spans="1:54" ht="15.75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  <c r="AC299" s="182"/>
      <c r="AD299" s="182"/>
      <c r="AE299" s="182"/>
      <c r="AF299" s="182"/>
      <c r="AG299" s="182"/>
      <c r="AH299" s="182"/>
      <c r="AI299" s="182"/>
      <c r="AJ299" s="182"/>
      <c r="AK299" s="182"/>
      <c r="AL299" s="182"/>
      <c r="AM299" s="182"/>
      <c r="AN299" s="182"/>
      <c r="AO299" s="182"/>
      <c r="AP299" s="182"/>
      <c r="AQ299" s="182"/>
      <c r="AR299" s="182"/>
      <c r="AS299" s="182"/>
      <c r="AT299" s="182"/>
      <c r="AU299" s="182"/>
      <c r="AV299" s="182"/>
      <c r="AW299" s="182"/>
      <c r="AX299" s="182"/>
      <c r="AY299" s="182"/>
      <c r="AZ299" s="182"/>
      <c r="BA299" s="182"/>
      <c r="BB299" s="182"/>
    </row>
    <row r="300" spans="1:54" ht="15.75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  <c r="AC300" s="182"/>
      <c r="AD300" s="182"/>
      <c r="AE300" s="182"/>
      <c r="AF300" s="182"/>
      <c r="AG300" s="182"/>
      <c r="AH300" s="182"/>
      <c r="AI300" s="182"/>
      <c r="AJ300" s="182"/>
      <c r="AK300" s="182"/>
      <c r="AL300" s="182"/>
      <c r="AM300" s="182"/>
      <c r="AN300" s="182"/>
      <c r="AO300" s="182"/>
      <c r="AP300" s="182"/>
      <c r="AQ300" s="182"/>
      <c r="AR300" s="182"/>
      <c r="AS300" s="182"/>
      <c r="AT300" s="182"/>
      <c r="AU300" s="182"/>
      <c r="AV300" s="182"/>
      <c r="AW300" s="182"/>
      <c r="AX300" s="182"/>
      <c r="AY300" s="182"/>
      <c r="AZ300" s="182"/>
      <c r="BA300" s="182"/>
      <c r="BB300" s="182"/>
    </row>
    <row r="301" spans="1:54" ht="15.75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  <c r="AC301" s="182"/>
      <c r="AD301" s="182"/>
      <c r="AE301" s="182"/>
      <c r="AF301" s="182"/>
      <c r="AG301" s="182"/>
      <c r="AH301" s="182"/>
      <c r="AI301" s="182"/>
      <c r="AJ301" s="182"/>
      <c r="AK301" s="182"/>
      <c r="AL301" s="182"/>
      <c r="AM301" s="182"/>
      <c r="AN301" s="182"/>
      <c r="AO301" s="182"/>
      <c r="AP301" s="182"/>
      <c r="AQ301" s="182"/>
      <c r="AR301" s="182"/>
      <c r="AS301" s="182"/>
      <c r="AT301" s="182"/>
      <c r="AU301" s="182"/>
      <c r="AV301" s="182"/>
      <c r="AW301" s="182"/>
      <c r="AX301" s="182"/>
      <c r="AY301" s="182"/>
      <c r="AZ301" s="182"/>
      <c r="BA301" s="182"/>
      <c r="BB301" s="182"/>
    </row>
    <row r="302" spans="1:54" ht="15.75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  <c r="AC302" s="182"/>
      <c r="AD302" s="182"/>
      <c r="AE302" s="182"/>
      <c r="AF302" s="182"/>
      <c r="AG302" s="182"/>
      <c r="AH302" s="182"/>
      <c r="AI302" s="182"/>
      <c r="AJ302" s="182"/>
      <c r="AK302" s="182"/>
      <c r="AL302" s="182"/>
      <c r="AM302" s="182"/>
      <c r="AN302" s="182"/>
      <c r="AO302" s="182"/>
      <c r="AP302" s="182"/>
      <c r="AQ302" s="182"/>
      <c r="AR302" s="182"/>
      <c r="AS302" s="182"/>
      <c r="AT302" s="182"/>
      <c r="AU302" s="182"/>
      <c r="AV302" s="182"/>
      <c r="AW302" s="182"/>
      <c r="AX302" s="182"/>
      <c r="AY302" s="182"/>
      <c r="AZ302" s="182"/>
      <c r="BA302" s="182"/>
      <c r="BB302" s="182"/>
    </row>
    <row r="303" spans="1:54" ht="15.75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  <c r="AC303" s="182"/>
      <c r="AD303" s="182"/>
      <c r="AE303" s="182"/>
      <c r="AF303" s="182"/>
      <c r="AG303" s="182"/>
      <c r="AH303" s="182"/>
      <c r="AI303" s="182"/>
      <c r="AJ303" s="182"/>
      <c r="AK303" s="182"/>
      <c r="AL303" s="182"/>
      <c r="AM303" s="182"/>
      <c r="AN303" s="182"/>
      <c r="AO303" s="182"/>
      <c r="AP303" s="182"/>
      <c r="AQ303" s="182"/>
      <c r="AR303" s="182"/>
      <c r="AS303" s="182"/>
      <c r="AT303" s="182"/>
      <c r="AU303" s="182"/>
      <c r="AV303" s="182"/>
      <c r="AW303" s="182"/>
      <c r="AX303" s="182"/>
      <c r="AY303" s="182"/>
      <c r="AZ303" s="182"/>
      <c r="BA303" s="182"/>
      <c r="BB303" s="182"/>
    </row>
    <row r="304" spans="1:54" ht="15.75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  <c r="AC304" s="182"/>
      <c r="AD304" s="182"/>
      <c r="AE304" s="182"/>
      <c r="AF304" s="182"/>
      <c r="AG304" s="182"/>
      <c r="AH304" s="182"/>
      <c r="AI304" s="182"/>
      <c r="AJ304" s="182"/>
      <c r="AK304" s="182"/>
      <c r="AL304" s="182"/>
      <c r="AM304" s="182"/>
      <c r="AN304" s="182"/>
      <c r="AO304" s="182"/>
      <c r="AP304" s="182"/>
      <c r="AQ304" s="182"/>
      <c r="AR304" s="182"/>
      <c r="AS304" s="182"/>
      <c r="AT304" s="182"/>
      <c r="AU304" s="182"/>
      <c r="AV304" s="182"/>
      <c r="AW304" s="182"/>
      <c r="AX304" s="182"/>
      <c r="AY304" s="182"/>
      <c r="AZ304" s="182"/>
      <c r="BA304" s="182"/>
      <c r="BB304" s="182"/>
    </row>
    <row r="305" spans="1:54" ht="15.75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  <c r="AC305" s="182"/>
      <c r="AD305" s="182"/>
      <c r="AE305" s="182"/>
      <c r="AF305" s="182"/>
      <c r="AG305" s="182"/>
      <c r="AH305" s="182"/>
      <c r="AI305" s="182"/>
      <c r="AJ305" s="182"/>
      <c r="AK305" s="182"/>
      <c r="AL305" s="182"/>
      <c r="AM305" s="182"/>
      <c r="AN305" s="182"/>
      <c r="AO305" s="182"/>
      <c r="AP305" s="182"/>
      <c r="AQ305" s="182"/>
      <c r="AR305" s="182"/>
      <c r="AS305" s="182"/>
      <c r="AT305" s="182"/>
      <c r="AU305" s="182"/>
      <c r="AV305" s="182"/>
      <c r="AW305" s="182"/>
      <c r="AX305" s="182"/>
      <c r="AY305" s="182"/>
      <c r="AZ305" s="182"/>
      <c r="BA305" s="182"/>
      <c r="BB305" s="182"/>
    </row>
    <row r="306" spans="1:54" ht="15.75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  <c r="AC306" s="182"/>
      <c r="AD306" s="182"/>
      <c r="AE306" s="182"/>
      <c r="AF306" s="182"/>
      <c r="AG306" s="182"/>
      <c r="AH306" s="182"/>
      <c r="AI306" s="182"/>
      <c r="AJ306" s="182"/>
      <c r="AK306" s="182"/>
      <c r="AL306" s="182"/>
      <c r="AM306" s="182"/>
      <c r="AN306" s="182"/>
      <c r="AO306" s="182"/>
      <c r="AP306" s="182"/>
      <c r="AQ306" s="182"/>
      <c r="AR306" s="182"/>
      <c r="AS306" s="182"/>
      <c r="AT306" s="182"/>
      <c r="AU306" s="182"/>
      <c r="AV306" s="182"/>
      <c r="AW306" s="182"/>
      <c r="AX306" s="182"/>
      <c r="AY306" s="182"/>
      <c r="AZ306" s="182"/>
      <c r="BA306" s="182"/>
      <c r="BB306" s="182"/>
    </row>
    <row r="307" spans="1:54" ht="15.75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  <c r="AC307" s="182"/>
      <c r="AD307" s="182"/>
      <c r="AE307" s="182"/>
      <c r="AF307" s="182"/>
      <c r="AG307" s="182"/>
      <c r="AH307" s="182"/>
      <c r="AI307" s="182"/>
      <c r="AJ307" s="182"/>
      <c r="AK307" s="182"/>
      <c r="AL307" s="182"/>
      <c r="AM307" s="182"/>
      <c r="AN307" s="182"/>
      <c r="AO307" s="182"/>
      <c r="AP307" s="182"/>
      <c r="AQ307" s="182"/>
      <c r="AR307" s="182"/>
      <c r="AS307" s="182"/>
      <c r="AT307" s="182"/>
      <c r="AU307" s="182"/>
      <c r="AV307" s="182"/>
      <c r="AW307" s="182"/>
      <c r="AX307" s="182"/>
      <c r="AY307" s="182"/>
      <c r="AZ307" s="182"/>
      <c r="BA307" s="182"/>
      <c r="BB307" s="182"/>
    </row>
    <row r="308" spans="1:54" ht="15.75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  <c r="AC308" s="182"/>
      <c r="AD308" s="182"/>
      <c r="AE308" s="182"/>
      <c r="AF308" s="182"/>
      <c r="AG308" s="182"/>
      <c r="AH308" s="182"/>
      <c r="AI308" s="182"/>
      <c r="AJ308" s="182"/>
      <c r="AK308" s="182"/>
      <c r="AL308" s="182"/>
      <c r="AM308" s="182"/>
      <c r="AN308" s="182"/>
      <c r="AO308" s="182"/>
      <c r="AP308" s="182"/>
      <c r="AQ308" s="182"/>
      <c r="AR308" s="182"/>
      <c r="AS308" s="182"/>
      <c r="AT308" s="182"/>
      <c r="AU308" s="182"/>
      <c r="AV308" s="182"/>
      <c r="AW308" s="182"/>
      <c r="AX308" s="182"/>
      <c r="AY308" s="182"/>
      <c r="AZ308" s="182"/>
      <c r="BA308" s="182"/>
      <c r="BB308" s="182"/>
    </row>
    <row r="309" spans="1:54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1:54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1:54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1:54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1:5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1:54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1:54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1:54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1:54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1:54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1:54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1:54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1:54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1:54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1:54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1:54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1:54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1:54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1:54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1:54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1:54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1:54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1:5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1:54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1:54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1:54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1:54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1:54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1:54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1:54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1:54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1:54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1:5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1:54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1:54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1:54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1:54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1:54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1:54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1:54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1:54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1:54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1:5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1:54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1:54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1:54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1:54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1:54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1:54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1:54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1:54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spans="1:54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spans="1: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spans="1:54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spans="1:54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spans="1:54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spans="1:54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spans="1:54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spans="1:54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spans="1:54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spans="1:54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spans="1:54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spans="1:5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spans="1:54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spans="1:54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spans="1:54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spans="1:54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spans="1:54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1:54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1:54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spans="1:54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spans="1:54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spans="1:5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spans="1:54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spans="1:54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spans="1:54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spans="1:54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spans="1:54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spans="1:54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spans="1:54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spans="1:54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spans="1:54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spans="1:5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spans="1:54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spans="1:54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spans="1:54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spans="1:54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spans="1:54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spans="1:54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spans="1:54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spans="1:54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spans="1:54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spans="1:5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spans="1:54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spans="1:54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spans="1:54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spans="1:54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spans="1:54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spans="1:54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spans="1:54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spans="1:54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spans="1:54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spans="1:5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spans="1:54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spans="1:54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spans="1:54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spans="1:54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spans="1:54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spans="1:54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spans="1:54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spans="1:54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spans="1:54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spans="1:5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spans="1:54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spans="1:54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spans="1:54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spans="1:54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spans="1:54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spans="1:54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spans="1:54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spans="1:54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spans="1:54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spans="1:5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spans="1:54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spans="1:54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1:54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1:54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spans="1:54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spans="1:54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spans="1:54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spans="1:54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spans="1:54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spans="1:5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spans="1:54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spans="1:54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spans="1:54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spans="1:54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spans="1:54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spans="1:54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spans="1:54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spans="1:54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spans="1:54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spans="1:5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spans="1:54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spans="1:54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spans="1:54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spans="1:54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spans="1:54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spans="1:54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spans="1:54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spans="1:54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spans="1:54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spans="1: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spans="1:54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spans="1:54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spans="1:54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spans="1:54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spans="1:54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spans="1:54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spans="1:54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spans="1:54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spans="1:54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spans="1:5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spans="1:54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spans="1:54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spans="1:54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spans="1:54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spans="1:54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spans="1:54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spans="1:54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spans="1:54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spans="1:54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spans="1:5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spans="1:54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spans="1:54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spans="1:54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spans="1:54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spans="1:54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spans="1:54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spans="1:54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spans="1:54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spans="1:54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1:5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1:54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spans="1:54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spans="1:54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spans="1:54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spans="1:54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spans="1:54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spans="1:54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spans="1:54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spans="1:54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spans="1:5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spans="1:54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spans="1:54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spans="1:54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spans="1:54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spans="1:54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spans="1:54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spans="1:54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spans="1:54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spans="1:54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spans="1:5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spans="1:54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spans="1:54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spans="1:54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spans="1:54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spans="1:54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spans="1:54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spans="1:54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spans="1:54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spans="1:54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spans="1:5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spans="1:54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spans="1:54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spans="1:54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spans="1:54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spans="1:54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spans="1:54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spans="1:54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spans="1:54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spans="1:54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spans="1:5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spans="1:54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spans="1:54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spans="1:54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spans="1:54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spans="1:54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spans="1:54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spans="1:54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spans="1:54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spans="1:54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spans="1:5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spans="1:54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spans="1:54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spans="1:54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spans="1:54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spans="1:54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spans="1:54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1:54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1:54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spans="1:54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spans="1:5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spans="1:54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spans="1:54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spans="1:54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spans="1:54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spans="1:54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spans="1:54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spans="1:54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spans="1:54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spans="1:54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spans="1: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spans="1:54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spans="1:54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spans="1:54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spans="1:54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spans="1:54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spans="1:54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spans="1:54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spans="1:54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spans="1:54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spans="1:5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spans="1:54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spans="1:54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spans="1:54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spans="1:54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spans="1:54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spans="1:54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 spans="1:54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 spans="1:54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 spans="1:54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 spans="1:5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 spans="1:54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 spans="1:54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 spans="1:54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 spans="1:54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 spans="1:54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 spans="1:54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 spans="1:54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 spans="1:54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 spans="1:54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 spans="1:5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 spans="1:54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 spans="1:54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 spans="1:54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 spans="1:54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 spans="1:54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 spans="1:54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 spans="1:54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 spans="1:54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 spans="1:54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 spans="1:5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 spans="1:54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 spans="1:54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 spans="1:54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 spans="1:54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 spans="1:54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 spans="1:54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 spans="1:54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 spans="1:54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 spans="1:54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 spans="1:5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 spans="1:54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 spans="1:54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 spans="1:54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 spans="1:54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 spans="1:54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 spans="1:54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 spans="1:54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 spans="1:54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 spans="1:54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 spans="1:5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 spans="1:54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 spans="1:54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 spans="1:54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 spans="1:54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 spans="1:54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 spans="1:54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 spans="1:54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 spans="1:54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 spans="1:54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 spans="1:5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 spans="1:54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 spans="1:54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 spans="1:54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 spans="1:54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 spans="1:54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 spans="1:54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 spans="1:54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 spans="1:54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 spans="1:54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 spans="1:5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 spans="1:54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 spans="1:54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 spans="1:54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 spans="1:54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 spans="1:54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 spans="1:54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 spans="1:54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 spans="1:54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 spans="1:54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 spans="1:5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 spans="1:54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 spans="1:54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 spans="1:54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 spans="1:54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 spans="1:54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 spans="1:54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 spans="1:54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 spans="1:54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 spans="1:54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 spans="1: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 spans="1:54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 spans="1:54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 spans="1:54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 spans="1:54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 spans="1:54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 spans="1:54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 spans="1:54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 spans="1:54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 spans="1:54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 spans="1:5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 spans="1:54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 spans="1:54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 spans="1:54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 spans="1:54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 spans="1:54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 spans="1:54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 spans="1:54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 spans="1:54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 spans="1:54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 spans="1:5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 spans="1:54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 spans="1:54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 spans="1:54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 spans="1:54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 spans="1:54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 spans="1:54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 spans="1:54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 spans="1:54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 spans="1:54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 spans="1:5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 spans="1:54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 spans="1:54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 spans="1:54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 spans="1:54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 spans="1:54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 spans="1:54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 spans="1:54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 spans="1:54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 spans="1:54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 spans="1:5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 spans="1:54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 spans="1:54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 spans="1:54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 spans="1:54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 spans="1:54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 spans="1:54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 spans="1:54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 spans="1:54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 spans="1:54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 spans="1:5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</row>
    <row r="905" spans="1:54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</row>
    <row r="906" spans="1:54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</row>
    <row r="907" spans="1:54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</row>
    <row r="908" spans="1:54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</row>
    <row r="909" spans="1:54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</row>
    <row r="910" spans="1:54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</row>
    <row r="911" spans="1:54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</row>
    <row r="912" spans="1:54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</row>
    <row r="913" spans="1:54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</row>
    <row r="914" spans="1:5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</row>
    <row r="915" spans="1:54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</row>
    <row r="916" spans="1:54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</row>
    <row r="917" spans="1:54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</row>
    <row r="918" spans="1:54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</row>
    <row r="919" spans="1:54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</row>
    <row r="920" spans="1:54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</row>
    <row r="921" spans="1:54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</row>
    <row r="922" spans="1:54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</row>
    <row r="923" spans="1:54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</row>
    <row r="924" spans="1:5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</row>
    <row r="925" spans="1:54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</row>
    <row r="926" spans="1:54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</row>
    <row r="927" spans="1:54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</row>
    <row r="928" spans="1:54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</row>
    <row r="929" spans="1:54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</row>
    <row r="930" spans="1:54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</row>
    <row r="931" spans="1:54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</row>
    <row r="932" spans="1:54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</row>
    <row r="933" spans="1:54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</row>
    <row r="934" spans="1:5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</row>
    <row r="935" spans="1:54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</row>
    <row r="936" spans="1:54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</row>
    <row r="937" spans="1:54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</row>
    <row r="938" spans="1:54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</row>
    <row r="939" spans="1:54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</row>
    <row r="940" spans="1:54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</row>
    <row r="941" spans="1:54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</row>
    <row r="942" spans="1:54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</row>
    <row r="943" spans="1:54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</row>
    <row r="944" spans="1:5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</row>
    <row r="945" spans="1:54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</row>
    <row r="946" spans="1:54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</row>
    <row r="947" spans="1:54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</row>
    <row r="948" spans="1:54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</row>
    <row r="949" spans="1:54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</row>
    <row r="950" spans="1:54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</row>
    <row r="951" spans="1:54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</row>
    <row r="952" spans="1:54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</row>
    <row r="953" spans="1:54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</row>
    <row r="954" spans="1: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</row>
    <row r="955" spans="1:54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</row>
    <row r="956" spans="1:54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</row>
    <row r="957" spans="1:54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</row>
    <row r="958" spans="1:54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</row>
    <row r="959" spans="1:54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</row>
    <row r="960" spans="1:54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</row>
    <row r="961" spans="1:54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</row>
    <row r="962" spans="1:54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</row>
    <row r="963" spans="1:54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</row>
    <row r="964" spans="1:5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</row>
    <row r="965" spans="1:54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</row>
    <row r="966" spans="1:5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</row>
    <row r="967" spans="1:5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</row>
    <row r="968" spans="1:54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</row>
    <row r="969" spans="1:54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</row>
    <row r="970" spans="1:54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</row>
    <row r="971" spans="1:54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</row>
    <row r="972" spans="1:54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</row>
    <row r="973" spans="1:54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</row>
    <row r="974" spans="1:5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</row>
    <row r="975" spans="1:54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</row>
    <row r="976" spans="1:54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</row>
    <row r="977" spans="1:54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</row>
    <row r="978" spans="1:54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</row>
    <row r="979" spans="1:54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</row>
    <row r="980" spans="1:54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</row>
    <row r="981" spans="1:54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</row>
    <row r="982" spans="1:54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</row>
    <row r="983" spans="1:54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</row>
    <row r="984" spans="1:5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</row>
    <row r="985" spans="1:54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</row>
    <row r="986" spans="1:54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</row>
    <row r="987" spans="1:54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</row>
    <row r="988" spans="1:54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</row>
    <row r="989" spans="1:54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</row>
    <row r="990" spans="1:54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</row>
    <row r="991" spans="1:54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</row>
    <row r="992" spans="1:54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</row>
    <row r="993" spans="1:54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</row>
    <row r="994" spans="1:5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</row>
    <row r="995" spans="1:54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</row>
    <row r="996" spans="1:54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</row>
    <row r="997" spans="1:54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</row>
    <row r="998" spans="1:54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</row>
    <row r="999" spans="1:54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</row>
    <row r="1000" spans="1:54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</row>
  </sheetData>
  <customSheetViews>
    <customSheetView guid="{235856BE-74DB-4E3F-8B4F-7A0562678546}" filter="1" showAutoFilter="1">
      <pageMargins left="0.7" right="0.7" top="0.75" bottom="0.75" header="0.3" footer="0.3"/>
      <autoFilter ref="A3:AS123">
        <filterColumn colId="1">
          <filters>
            <filter val="Barwani"/>
            <filter val="Khandwa"/>
          </filters>
        </filterColumn>
      </autoFilter>
      <extLst>
        <ext uri="GoogleSheetsCustomDataVersion1">
          <go:sheetsCustomData xmlns:go="http://customooxmlschemas.google.com/" filterViewId="853426584"/>
        </ext>
      </extLst>
    </customSheetView>
  </customSheetViews>
  <mergeCells count="4">
    <mergeCell ref="E1:L1"/>
    <mergeCell ref="M1:T1"/>
    <mergeCell ref="U1:AB1"/>
    <mergeCell ref="AC1:AJ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88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11" sqref="G11"/>
    </sheetView>
  </sheetViews>
  <sheetFormatPr defaultColWidth="14.42578125" defaultRowHeight="15" customHeight="1"/>
  <cols>
    <col min="1" max="1" width="17.28515625" customWidth="1"/>
    <col min="2" max="2" width="13.42578125" customWidth="1"/>
    <col min="3" max="3" width="25.5703125" customWidth="1"/>
    <col min="4" max="4" width="19.28515625" customWidth="1"/>
    <col min="5" max="5" width="14.5703125" bestFit="1" customWidth="1"/>
    <col min="6" max="6" width="13.28515625" customWidth="1"/>
    <col min="7" max="7" width="14.5703125" bestFit="1" customWidth="1"/>
    <col min="8" max="8" width="13.28515625" customWidth="1"/>
    <col min="9" max="9" width="13.5703125" customWidth="1"/>
    <col min="10" max="10" width="12" customWidth="1"/>
    <col min="11" max="11" width="13.5703125" customWidth="1"/>
    <col min="12" max="12" width="13.42578125" customWidth="1"/>
    <col min="13" max="13" width="13.5703125" customWidth="1"/>
    <col min="14" max="14" width="13.42578125" customWidth="1"/>
    <col min="15" max="15" width="13.5703125" customWidth="1"/>
    <col min="16" max="16" width="13.42578125" customWidth="1"/>
    <col min="17" max="17" width="13.5703125" customWidth="1"/>
    <col min="18" max="18" width="13.42578125" customWidth="1"/>
    <col min="19" max="19" width="13.5703125" customWidth="1"/>
    <col min="20" max="20" width="13.42578125" customWidth="1"/>
    <col min="21" max="21" width="13.5703125" customWidth="1"/>
    <col min="22" max="22" width="12" customWidth="1"/>
    <col min="23" max="23" width="13.5703125" customWidth="1"/>
    <col min="24" max="24" width="12" customWidth="1"/>
    <col min="25" max="25" width="13.5703125" customWidth="1"/>
    <col min="26" max="26" width="12" customWidth="1"/>
    <col min="27" max="27" width="13.5703125" customWidth="1"/>
    <col min="28" max="28" width="12" customWidth="1"/>
    <col min="29" max="29" width="13.5703125" customWidth="1"/>
    <col min="30" max="30" width="12" customWidth="1"/>
    <col min="31" max="31" width="13.5703125" customWidth="1"/>
    <col min="32" max="32" width="12" customWidth="1"/>
    <col min="33" max="33" width="13.5703125" customWidth="1"/>
    <col min="34" max="34" width="12" customWidth="1"/>
    <col min="35" max="35" width="13.5703125" customWidth="1"/>
    <col min="36" max="36" width="12" customWidth="1"/>
    <col min="37" max="37" width="13.5703125" customWidth="1"/>
    <col min="38" max="38" width="12" customWidth="1"/>
    <col min="39" max="39" width="13.5703125" customWidth="1"/>
    <col min="40" max="40" width="12" customWidth="1"/>
    <col min="41" max="58" width="8.85546875" customWidth="1"/>
  </cols>
  <sheetData>
    <row r="1" spans="1:58" ht="15" customHeight="1">
      <c r="A1" s="188"/>
      <c r="B1" s="188"/>
      <c r="C1" s="189"/>
      <c r="D1" s="248"/>
      <c r="E1" s="255"/>
      <c r="F1" s="255"/>
      <c r="G1" s="255"/>
      <c r="H1" s="255"/>
      <c r="I1" s="249">
        <v>44916</v>
      </c>
      <c r="J1" s="233"/>
      <c r="K1" s="233"/>
      <c r="L1" s="233"/>
      <c r="M1" s="233"/>
      <c r="N1" s="233"/>
      <c r="O1" s="233"/>
      <c r="P1" s="234"/>
      <c r="Q1" s="250">
        <v>44583</v>
      </c>
      <c r="R1" s="233"/>
      <c r="S1" s="233"/>
      <c r="T1" s="233"/>
      <c r="U1" s="233"/>
      <c r="V1" s="233"/>
      <c r="W1" s="233"/>
      <c r="X1" s="234"/>
      <c r="Y1" s="251">
        <v>44614</v>
      </c>
      <c r="Z1" s="233"/>
      <c r="AA1" s="233"/>
      <c r="AB1" s="233"/>
      <c r="AC1" s="233"/>
      <c r="AD1" s="233"/>
      <c r="AE1" s="233"/>
      <c r="AF1" s="234"/>
      <c r="AG1" s="252">
        <v>44642</v>
      </c>
      <c r="AH1" s="233"/>
      <c r="AI1" s="233"/>
      <c r="AJ1" s="233"/>
      <c r="AK1" s="233"/>
      <c r="AL1" s="233"/>
      <c r="AM1" s="233"/>
      <c r="AN1" s="234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>
      <c r="A2" s="190"/>
      <c r="B2" s="191"/>
      <c r="C2" s="191"/>
      <c r="D2" s="256"/>
      <c r="E2" s="257"/>
      <c r="F2" s="257"/>
      <c r="G2" s="257"/>
      <c r="H2" s="257"/>
      <c r="I2" s="192" t="s">
        <v>109</v>
      </c>
      <c r="J2" s="193" t="s">
        <v>110</v>
      </c>
      <c r="K2" s="192" t="s">
        <v>111</v>
      </c>
      <c r="L2" s="193" t="s">
        <v>112</v>
      </c>
      <c r="M2" s="192" t="s">
        <v>113</v>
      </c>
      <c r="N2" s="193" t="s">
        <v>114</v>
      </c>
      <c r="O2" s="192" t="s">
        <v>115</v>
      </c>
      <c r="P2" s="193" t="s">
        <v>116</v>
      </c>
      <c r="Q2" s="192" t="s">
        <v>109</v>
      </c>
      <c r="R2" s="193" t="s">
        <v>110</v>
      </c>
      <c r="S2" s="192" t="s">
        <v>111</v>
      </c>
      <c r="T2" s="193" t="s">
        <v>112</v>
      </c>
      <c r="U2" s="192" t="s">
        <v>113</v>
      </c>
      <c r="V2" s="193" t="s">
        <v>114</v>
      </c>
      <c r="W2" s="192" t="s">
        <v>115</v>
      </c>
      <c r="X2" s="193" t="s">
        <v>116</v>
      </c>
      <c r="Y2" s="192" t="s">
        <v>109</v>
      </c>
      <c r="Z2" s="193" t="s">
        <v>110</v>
      </c>
      <c r="AA2" s="192" t="s">
        <v>111</v>
      </c>
      <c r="AB2" s="193" t="s">
        <v>112</v>
      </c>
      <c r="AC2" s="192" t="s">
        <v>113</v>
      </c>
      <c r="AD2" s="193" t="s">
        <v>114</v>
      </c>
      <c r="AE2" s="192" t="s">
        <v>115</v>
      </c>
      <c r="AF2" s="193" t="s">
        <v>116</v>
      </c>
      <c r="AG2" s="192" t="s">
        <v>109</v>
      </c>
      <c r="AH2" s="193" t="s">
        <v>110</v>
      </c>
      <c r="AI2" s="192" t="s">
        <v>111</v>
      </c>
      <c r="AJ2" s="193" t="s">
        <v>112</v>
      </c>
      <c r="AK2" s="192" t="s">
        <v>113</v>
      </c>
      <c r="AL2" s="193" t="s">
        <v>114</v>
      </c>
      <c r="AM2" s="192" t="s">
        <v>115</v>
      </c>
      <c r="AN2" s="193" t="s">
        <v>116</v>
      </c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</row>
    <row r="3" spans="1:58">
      <c r="A3" s="194" t="s">
        <v>117</v>
      </c>
      <c r="B3" s="195" t="s">
        <v>31</v>
      </c>
      <c r="C3" s="195" t="s">
        <v>118</v>
      </c>
      <c r="D3" s="195" t="s">
        <v>133</v>
      </c>
      <c r="E3" s="195" t="s">
        <v>134</v>
      </c>
      <c r="F3" s="195" t="s">
        <v>100</v>
      </c>
      <c r="G3" s="195" t="s">
        <v>186</v>
      </c>
      <c r="H3" s="195" t="s">
        <v>187</v>
      </c>
      <c r="I3" s="196" t="s">
        <v>119</v>
      </c>
      <c r="J3" s="197" t="s">
        <v>22</v>
      </c>
      <c r="K3" s="196" t="s">
        <v>119</v>
      </c>
      <c r="L3" s="197" t="s">
        <v>22</v>
      </c>
      <c r="M3" s="196" t="s">
        <v>119</v>
      </c>
      <c r="N3" s="197" t="s">
        <v>22</v>
      </c>
      <c r="O3" s="196" t="s">
        <v>119</v>
      </c>
      <c r="P3" s="197" t="s">
        <v>22</v>
      </c>
      <c r="Q3" s="196" t="s">
        <v>119</v>
      </c>
      <c r="R3" s="197" t="s">
        <v>22</v>
      </c>
      <c r="S3" s="196" t="s">
        <v>119</v>
      </c>
      <c r="T3" s="197" t="s">
        <v>22</v>
      </c>
      <c r="U3" s="196" t="s">
        <v>119</v>
      </c>
      <c r="V3" s="197" t="s">
        <v>22</v>
      </c>
      <c r="W3" s="196" t="s">
        <v>119</v>
      </c>
      <c r="X3" s="197" t="s">
        <v>22</v>
      </c>
      <c r="Y3" s="196" t="s">
        <v>119</v>
      </c>
      <c r="Z3" s="197" t="s">
        <v>22</v>
      </c>
      <c r="AA3" s="196" t="s">
        <v>119</v>
      </c>
      <c r="AB3" s="197" t="s">
        <v>22</v>
      </c>
      <c r="AC3" s="196" t="s">
        <v>119</v>
      </c>
      <c r="AD3" s="197" t="s">
        <v>22</v>
      </c>
      <c r="AE3" s="196" t="s">
        <v>119</v>
      </c>
      <c r="AF3" s="197" t="s">
        <v>22</v>
      </c>
      <c r="AG3" s="196" t="s">
        <v>119</v>
      </c>
      <c r="AH3" s="197" t="s">
        <v>22</v>
      </c>
      <c r="AI3" s="196" t="s">
        <v>119</v>
      </c>
      <c r="AJ3" s="197" t="s">
        <v>22</v>
      </c>
      <c r="AK3" s="196" t="s">
        <v>119</v>
      </c>
      <c r="AL3" s="197" t="s">
        <v>22</v>
      </c>
      <c r="AM3" s="196" t="s">
        <v>119</v>
      </c>
      <c r="AN3" s="197" t="s">
        <v>22</v>
      </c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</row>
    <row r="4" spans="1:58" ht="15.75" customHeight="1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</row>
    <row r="5" spans="1:58" ht="15.75" customHeight="1">
      <c r="A5" s="182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2"/>
      <c r="BF5" s="182"/>
    </row>
    <row r="6" spans="1:58" ht="15.75" customHeight="1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2"/>
      <c r="AU6" s="182"/>
      <c r="AV6" s="182"/>
      <c r="AW6" s="182"/>
      <c r="AX6" s="182"/>
      <c r="AY6" s="182"/>
      <c r="AZ6" s="182"/>
      <c r="BA6" s="182"/>
      <c r="BB6" s="182"/>
      <c r="BC6" s="182"/>
      <c r="BD6" s="182"/>
      <c r="BE6" s="182"/>
      <c r="BF6" s="182"/>
    </row>
    <row r="7" spans="1:58" ht="15.75" customHeight="1">
      <c r="A7" s="182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182"/>
      <c r="AO7" s="182"/>
      <c r="AP7" s="182"/>
      <c r="AQ7" s="182"/>
      <c r="AR7" s="182"/>
      <c r="AS7" s="182"/>
      <c r="AT7" s="182"/>
      <c r="AU7" s="182"/>
      <c r="AV7" s="182"/>
      <c r="AW7" s="182"/>
      <c r="AX7" s="182"/>
      <c r="AY7" s="182"/>
      <c r="AZ7" s="182"/>
      <c r="BA7" s="182"/>
      <c r="BB7" s="182"/>
      <c r="BC7" s="182"/>
      <c r="BD7" s="182"/>
      <c r="BE7" s="182"/>
      <c r="BF7" s="182"/>
    </row>
    <row r="8" spans="1:58" ht="15.75" customHeight="1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</row>
    <row r="9" spans="1:58" ht="15.75" customHeight="1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82"/>
    </row>
    <row r="10" spans="1:58" ht="15.75" customHeight="1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</row>
    <row r="11" spans="1:58" ht="15.75" customHeight="1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82"/>
    </row>
    <row r="12" spans="1:58" ht="15.75" customHeight="1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2"/>
      <c r="BD12" s="182"/>
      <c r="BE12" s="182"/>
      <c r="BF12" s="182"/>
    </row>
    <row r="13" spans="1:58" ht="15.75" customHeight="1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</row>
    <row r="14" spans="1:58" ht="15.75" customHeight="1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</row>
    <row r="15" spans="1:58" ht="15.75" customHeight="1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  <c r="BD15" s="182"/>
      <c r="BE15" s="182"/>
      <c r="BF15" s="182"/>
    </row>
    <row r="16" spans="1:58" ht="15.75" customHeight="1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2"/>
      <c r="BF16" s="182"/>
    </row>
    <row r="17" spans="1:58" ht="15.75" customHeight="1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82"/>
    </row>
    <row r="18" spans="1:58" ht="15.75" customHeight="1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</row>
    <row r="19" spans="1:58" ht="15.75" customHeight="1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82"/>
    </row>
    <row r="20" spans="1:58" ht="15.75" customHeight="1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</row>
    <row r="21" spans="1:58" ht="15.75" customHeight="1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</row>
    <row r="22" spans="1:58" ht="15.75" customHeight="1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</row>
    <row r="23" spans="1:58" ht="15.75" customHeight="1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</row>
    <row r="24" spans="1:58" ht="15.75" customHeight="1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82"/>
    </row>
    <row r="25" spans="1:58" ht="15.75" customHeight="1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</row>
    <row r="26" spans="1:58" ht="15.75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</row>
    <row r="27" spans="1:58" ht="15.75" customHeight="1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</row>
    <row r="28" spans="1:58" ht="15.75" customHeight="1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  <c r="BD28" s="182"/>
      <c r="BE28" s="182"/>
      <c r="BF28" s="182"/>
    </row>
    <row r="29" spans="1:58" ht="15.75" customHeight="1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</row>
    <row r="30" spans="1:58" ht="15.75" customHeight="1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</row>
    <row r="31" spans="1:58" ht="15.75" customHeight="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</row>
    <row r="32" spans="1:58" ht="15.75" customHeight="1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2"/>
      <c r="BD32" s="182"/>
      <c r="BE32" s="182"/>
      <c r="BF32" s="182"/>
    </row>
    <row r="33" spans="1:58" ht="15.75" customHeight="1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</row>
    <row r="34" spans="1:58" ht="15.75" customHeight="1">
      <c r="A34" s="182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</row>
    <row r="35" spans="1:58" ht="15.75" customHeight="1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2"/>
      <c r="BD35" s="182"/>
      <c r="BE35" s="182"/>
      <c r="BF35" s="182"/>
    </row>
    <row r="36" spans="1:58" ht="15.75" customHeight="1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2"/>
      <c r="BD36" s="182"/>
      <c r="BE36" s="182"/>
      <c r="BF36" s="182"/>
    </row>
    <row r="37" spans="1:58" ht="15.75" customHeight="1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2"/>
      <c r="BD37" s="182"/>
      <c r="BE37" s="182"/>
      <c r="BF37" s="182"/>
    </row>
    <row r="38" spans="1:58" ht="15.75" customHeight="1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82"/>
    </row>
    <row r="39" spans="1:58" ht="15.75" customHeigh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</row>
    <row r="40" spans="1:58" ht="15.75" customHeight="1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</row>
    <row r="41" spans="1:58" ht="15.75" customHeight="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</row>
    <row r="42" spans="1:58" ht="15.75" customHeight="1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</row>
    <row r="43" spans="1:58" ht="15.75" customHeight="1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</row>
    <row r="44" spans="1:58" ht="15.75" customHeight="1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</row>
    <row r="45" spans="1:58" ht="15.75" customHeight="1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</row>
    <row r="46" spans="1:58" ht="15.75" customHeight="1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</row>
    <row r="47" spans="1:58" ht="15.75" customHeight="1">
      <c r="A47" s="182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</row>
    <row r="48" spans="1:58" ht="15.75" customHeight="1">
      <c r="A48" s="182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</row>
    <row r="49" spans="1:58" ht="15.75" customHeight="1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</row>
    <row r="50" spans="1:58" ht="15.75" customHeight="1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</row>
    <row r="51" spans="1:58" ht="15.75" customHeight="1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</row>
    <row r="52" spans="1:58" ht="15.75" customHeight="1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</row>
    <row r="53" spans="1:58" ht="15.75" customHeight="1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</row>
    <row r="54" spans="1:58" ht="15.75" customHeight="1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</row>
    <row r="55" spans="1:58" ht="15.75" customHeight="1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</row>
    <row r="56" spans="1:58" ht="15.75" customHeight="1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</row>
    <row r="57" spans="1:58" ht="15.75" customHeight="1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</row>
    <row r="58" spans="1:58" ht="15.75" customHeight="1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</row>
    <row r="59" spans="1:58" ht="15.75" customHeight="1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182"/>
      <c r="BE59" s="182"/>
      <c r="BF59" s="182"/>
    </row>
    <row r="60" spans="1:58" ht="15.75" customHeight="1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182"/>
    </row>
    <row r="61" spans="1:58" ht="15.75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</row>
    <row r="62" spans="1:58" ht="15.75" customHeight="1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</row>
    <row r="63" spans="1:58" ht="15.75" customHeight="1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</row>
    <row r="64" spans="1:58" ht="15.75" customHeight="1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</row>
    <row r="65" spans="1:58" ht="15.75" customHeight="1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  <c r="BC65" s="182"/>
      <c r="BD65" s="182"/>
      <c r="BE65" s="182"/>
      <c r="BF65" s="182"/>
    </row>
    <row r="66" spans="1:58" ht="15.75" customHeight="1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</row>
    <row r="67" spans="1:58" ht="15.75" customHeight="1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82"/>
      <c r="BF67" s="182"/>
    </row>
    <row r="68" spans="1:58" ht="15.75" customHeight="1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2"/>
      <c r="BE68" s="182"/>
      <c r="BF68" s="182"/>
    </row>
    <row r="69" spans="1:58" ht="15.75" customHeight="1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</row>
    <row r="70" spans="1:58" ht="15.75" customHeight="1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2"/>
      <c r="BC70" s="182"/>
      <c r="BD70" s="182"/>
      <c r="BE70" s="182"/>
      <c r="BF70" s="182"/>
    </row>
    <row r="71" spans="1:58" ht="15.75" customHeight="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  <c r="BC71" s="182"/>
      <c r="BD71" s="182"/>
      <c r="BE71" s="182"/>
      <c r="BF71" s="182"/>
    </row>
    <row r="72" spans="1:58" ht="15.75" customHeight="1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2"/>
      <c r="BC72" s="182"/>
      <c r="BD72" s="182"/>
      <c r="BE72" s="182"/>
      <c r="BF72" s="182"/>
    </row>
    <row r="73" spans="1:58" ht="15.75" customHeight="1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</row>
    <row r="74" spans="1:58" ht="15.75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  <c r="BC74" s="182"/>
      <c r="BD74" s="182"/>
      <c r="BE74" s="182"/>
      <c r="BF74" s="182"/>
    </row>
    <row r="75" spans="1:58" ht="15.75" customHeight="1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2"/>
      <c r="BC75" s="182"/>
      <c r="BD75" s="182"/>
      <c r="BE75" s="182"/>
      <c r="BF75" s="182"/>
    </row>
    <row r="76" spans="1:58" ht="15.75" customHeight="1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2"/>
      <c r="BC76" s="182"/>
      <c r="BD76" s="182"/>
      <c r="BE76" s="182"/>
      <c r="BF76" s="182"/>
    </row>
    <row r="77" spans="1:58" ht="15.75" customHeight="1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</row>
    <row r="78" spans="1:58" ht="15.75" customHeight="1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</row>
    <row r="79" spans="1:58" ht="15.75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</row>
    <row r="80" spans="1:58" ht="15.75" customHeight="1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</row>
    <row r="81" spans="1:58" ht="15.75" customHeight="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</row>
    <row r="82" spans="1:58" ht="15.75" customHeight="1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</row>
    <row r="83" spans="1:58" ht="15.75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</row>
    <row r="84" spans="1:58" ht="15.75" customHeight="1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</row>
    <row r="85" spans="1:58" ht="15.75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</row>
    <row r="86" spans="1:58" ht="15.75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</row>
    <row r="87" spans="1:58" ht="15.75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82"/>
      <c r="BA87" s="182"/>
      <c r="BB87" s="182"/>
      <c r="BC87" s="182"/>
      <c r="BD87" s="182"/>
      <c r="BE87" s="182"/>
      <c r="BF87" s="182"/>
    </row>
    <row r="88" spans="1:58" ht="15.7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  <c r="BF88" s="182"/>
    </row>
    <row r="89" spans="1:58" ht="15.75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</row>
    <row r="90" spans="1:58" ht="15.75" customHeight="1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</row>
    <row r="91" spans="1:58" ht="15.75" customHeight="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/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/>
    </row>
    <row r="92" spans="1:58" ht="15.75" customHeight="1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</row>
    <row r="93" spans="1:58" ht="15.75" customHeight="1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  <c r="AT93" s="182"/>
      <c r="AU93" s="182"/>
      <c r="AV93" s="182"/>
      <c r="AW93" s="182"/>
      <c r="AX93" s="182"/>
      <c r="AY93" s="182"/>
      <c r="AZ93" s="182"/>
      <c r="BA93" s="182"/>
      <c r="BB93" s="182"/>
      <c r="BC93" s="182"/>
      <c r="BD93" s="182"/>
      <c r="BE93" s="182"/>
      <c r="BF93" s="182"/>
    </row>
    <row r="94" spans="1:58" ht="15.75" customHeight="1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  <c r="AT94" s="182"/>
      <c r="AU94" s="182"/>
      <c r="AV94" s="182"/>
      <c r="AW94" s="182"/>
      <c r="AX94" s="182"/>
      <c r="AY94" s="182"/>
      <c r="AZ94" s="182"/>
      <c r="BA94" s="182"/>
      <c r="BB94" s="182"/>
      <c r="BC94" s="182"/>
      <c r="BD94" s="182"/>
      <c r="BE94" s="182"/>
      <c r="BF94" s="182"/>
    </row>
    <row r="95" spans="1:58" ht="15.75" customHeight="1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</row>
    <row r="96" spans="1:58" ht="15.75" customHeight="1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182"/>
      <c r="BD96" s="182"/>
      <c r="BE96" s="182"/>
      <c r="BF96" s="182"/>
    </row>
    <row r="97" spans="1:58" ht="15.75" customHeight="1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2"/>
      <c r="AN97" s="182"/>
      <c r="AO97" s="182"/>
      <c r="AP97" s="182"/>
      <c r="AQ97" s="182"/>
      <c r="AR97" s="182"/>
      <c r="AS97" s="182"/>
      <c r="AT97" s="182"/>
      <c r="AU97" s="182"/>
      <c r="AV97" s="182"/>
      <c r="AW97" s="182"/>
      <c r="AX97" s="182"/>
      <c r="AY97" s="182"/>
      <c r="AZ97" s="182"/>
      <c r="BA97" s="182"/>
      <c r="BB97" s="182"/>
      <c r="BC97" s="182"/>
      <c r="BD97" s="182"/>
      <c r="BE97" s="182"/>
      <c r="BF97" s="182"/>
    </row>
    <row r="98" spans="1:58" ht="15.75" customHeight="1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  <c r="AT98" s="182"/>
      <c r="AU98" s="182"/>
      <c r="AV98" s="182"/>
      <c r="AW98" s="182"/>
      <c r="AX98" s="182"/>
      <c r="AY98" s="182"/>
      <c r="AZ98" s="182"/>
      <c r="BA98" s="182"/>
      <c r="BB98" s="182"/>
      <c r="BC98" s="182"/>
      <c r="BD98" s="182"/>
      <c r="BE98" s="182"/>
      <c r="BF98" s="182"/>
    </row>
    <row r="99" spans="1:58" ht="15.75" customHeight="1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182"/>
      <c r="AZ99" s="182"/>
      <c r="BA99" s="182"/>
      <c r="BB99" s="182"/>
      <c r="BC99" s="182"/>
      <c r="BD99" s="182"/>
      <c r="BE99" s="182"/>
      <c r="BF99" s="182"/>
    </row>
    <row r="100" spans="1:58" ht="15.75" customHeight="1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  <c r="AY100" s="182"/>
      <c r="AZ100" s="182"/>
      <c r="BA100" s="182"/>
      <c r="BB100" s="182"/>
      <c r="BC100" s="182"/>
      <c r="BD100" s="182"/>
      <c r="BE100" s="182"/>
      <c r="BF100" s="182"/>
    </row>
    <row r="101" spans="1:58" ht="15.75" customHeight="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  <c r="AT101" s="182"/>
      <c r="AU101" s="182"/>
      <c r="AV101" s="182"/>
      <c r="AW101" s="182"/>
      <c r="AX101" s="182"/>
      <c r="AY101" s="182"/>
      <c r="AZ101" s="182"/>
      <c r="BA101" s="182"/>
      <c r="BB101" s="182"/>
      <c r="BC101" s="182"/>
      <c r="BD101" s="182"/>
      <c r="BE101" s="182"/>
      <c r="BF101" s="182"/>
    </row>
    <row r="102" spans="1:58" ht="15.75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  <c r="AT102" s="182"/>
      <c r="AU102" s="182"/>
      <c r="AV102" s="182"/>
      <c r="AW102" s="182"/>
      <c r="AX102" s="182"/>
      <c r="AY102" s="182"/>
      <c r="AZ102" s="182"/>
      <c r="BA102" s="182"/>
      <c r="BB102" s="182"/>
      <c r="BC102" s="182"/>
      <c r="BD102" s="182"/>
      <c r="BE102" s="182"/>
      <c r="BF102" s="182"/>
    </row>
    <row r="103" spans="1:58" ht="15.75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82"/>
      <c r="AQ103" s="182"/>
      <c r="AR103" s="182"/>
      <c r="AS103" s="182"/>
      <c r="AT103" s="182"/>
      <c r="AU103" s="182"/>
      <c r="AV103" s="182"/>
      <c r="AW103" s="182"/>
      <c r="AX103" s="182"/>
      <c r="AY103" s="182"/>
      <c r="AZ103" s="182"/>
      <c r="BA103" s="182"/>
      <c r="BB103" s="182"/>
      <c r="BC103" s="182"/>
      <c r="BD103" s="182"/>
      <c r="BE103" s="182"/>
      <c r="BF103" s="182"/>
    </row>
    <row r="104" spans="1:58" ht="15.75" customHeight="1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2"/>
      <c r="AU104" s="182"/>
      <c r="AV104" s="182"/>
      <c r="AW104" s="182"/>
      <c r="AX104" s="182"/>
      <c r="AY104" s="182"/>
      <c r="AZ104" s="182"/>
      <c r="BA104" s="182"/>
      <c r="BB104" s="182"/>
      <c r="BC104" s="182"/>
      <c r="BD104" s="182"/>
      <c r="BE104" s="182"/>
      <c r="BF104" s="182"/>
    </row>
    <row r="105" spans="1:58" ht="15.75" customHeight="1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  <c r="AT105" s="182"/>
      <c r="AU105" s="182"/>
      <c r="AV105" s="182"/>
      <c r="AW105" s="182"/>
      <c r="AX105" s="182"/>
      <c r="AY105" s="182"/>
      <c r="AZ105" s="182"/>
      <c r="BA105" s="182"/>
      <c r="BB105" s="182"/>
      <c r="BC105" s="182"/>
      <c r="BD105" s="182"/>
      <c r="BE105" s="182"/>
      <c r="BF105" s="182"/>
    </row>
    <row r="106" spans="1:58" ht="15.75" customHeight="1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  <c r="BB106" s="182"/>
      <c r="BC106" s="182"/>
      <c r="BD106" s="182"/>
      <c r="BE106" s="182"/>
      <c r="BF106" s="182"/>
    </row>
    <row r="107" spans="1:58" ht="15.75" customHeight="1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  <c r="AT107" s="182"/>
      <c r="AU107" s="182"/>
      <c r="AV107" s="182"/>
      <c r="AW107" s="182"/>
      <c r="AX107" s="182"/>
      <c r="AY107" s="182"/>
      <c r="AZ107" s="182"/>
      <c r="BA107" s="182"/>
      <c r="BB107" s="182"/>
      <c r="BC107" s="182"/>
      <c r="BD107" s="182"/>
      <c r="BE107" s="182"/>
      <c r="BF107" s="182"/>
    </row>
    <row r="108" spans="1:58" ht="15.75" customHeight="1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82"/>
      <c r="AQ108" s="182"/>
      <c r="AR108" s="182"/>
      <c r="AS108" s="182"/>
      <c r="AT108" s="182"/>
      <c r="AU108" s="182"/>
      <c r="AV108" s="182"/>
      <c r="AW108" s="182"/>
      <c r="AX108" s="182"/>
      <c r="AY108" s="182"/>
      <c r="AZ108" s="182"/>
      <c r="BA108" s="182"/>
      <c r="BB108" s="182"/>
      <c r="BC108" s="182"/>
      <c r="BD108" s="182"/>
      <c r="BE108" s="182"/>
      <c r="BF108" s="182"/>
    </row>
    <row r="109" spans="1:58" ht="15.75" customHeight="1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82"/>
      <c r="AQ109" s="182"/>
      <c r="AR109" s="182"/>
      <c r="AS109" s="182"/>
      <c r="AT109" s="182"/>
      <c r="AU109" s="182"/>
      <c r="AV109" s="182"/>
      <c r="AW109" s="182"/>
      <c r="AX109" s="182"/>
      <c r="AY109" s="182"/>
      <c r="AZ109" s="182"/>
      <c r="BA109" s="182"/>
      <c r="BB109" s="182"/>
      <c r="BC109" s="182"/>
      <c r="BD109" s="182"/>
      <c r="BE109" s="182"/>
      <c r="BF109" s="182"/>
    </row>
    <row r="110" spans="1:58" ht="15.75" customHeight="1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  <c r="AM110" s="182"/>
      <c r="AN110" s="182"/>
      <c r="AO110" s="182"/>
      <c r="AP110" s="182"/>
      <c r="AQ110" s="182"/>
      <c r="AR110" s="182"/>
      <c r="AS110" s="182"/>
      <c r="AT110" s="182"/>
      <c r="AU110" s="182"/>
      <c r="AV110" s="182"/>
      <c r="AW110" s="182"/>
      <c r="AX110" s="182"/>
      <c r="AY110" s="182"/>
      <c r="AZ110" s="182"/>
      <c r="BA110" s="182"/>
      <c r="BB110" s="182"/>
      <c r="BC110" s="182"/>
      <c r="BD110" s="182"/>
      <c r="BE110" s="182"/>
      <c r="BF110" s="182"/>
    </row>
    <row r="111" spans="1:58" ht="15.75" customHeight="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  <c r="AT111" s="182"/>
      <c r="AU111" s="182"/>
      <c r="AV111" s="182"/>
      <c r="AW111" s="182"/>
      <c r="AX111" s="182"/>
      <c r="AY111" s="182"/>
      <c r="AZ111" s="182"/>
      <c r="BA111" s="182"/>
      <c r="BB111" s="182"/>
      <c r="BC111" s="182"/>
      <c r="BD111" s="182"/>
      <c r="BE111" s="182"/>
      <c r="BF111" s="182"/>
    </row>
    <row r="112" spans="1:58" ht="15.75" customHeight="1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  <c r="AM112" s="182"/>
      <c r="AN112" s="182"/>
      <c r="AO112" s="182"/>
      <c r="AP112" s="182"/>
      <c r="AQ112" s="182"/>
      <c r="AR112" s="182"/>
      <c r="AS112" s="182"/>
      <c r="AT112" s="182"/>
      <c r="AU112" s="182"/>
      <c r="AV112" s="182"/>
      <c r="AW112" s="182"/>
      <c r="AX112" s="182"/>
      <c r="AY112" s="182"/>
      <c r="AZ112" s="182"/>
      <c r="BA112" s="182"/>
      <c r="BB112" s="182"/>
      <c r="BC112" s="182"/>
      <c r="BD112" s="182"/>
      <c r="BE112" s="182"/>
      <c r="BF112" s="182"/>
    </row>
    <row r="113" spans="1:58" ht="15.75" customHeight="1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  <c r="AP113" s="182"/>
      <c r="AQ113" s="182"/>
      <c r="AR113" s="182"/>
      <c r="AS113" s="182"/>
      <c r="AT113" s="182"/>
      <c r="AU113" s="182"/>
      <c r="AV113" s="182"/>
      <c r="AW113" s="182"/>
      <c r="AX113" s="182"/>
      <c r="AY113" s="182"/>
      <c r="AZ113" s="182"/>
      <c r="BA113" s="182"/>
      <c r="BB113" s="182"/>
      <c r="BC113" s="182"/>
      <c r="BD113" s="182"/>
      <c r="BE113" s="182"/>
      <c r="BF113" s="182"/>
    </row>
    <row r="114" spans="1:58" ht="15.75" customHeight="1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  <c r="AM114" s="182"/>
      <c r="AN114" s="182"/>
      <c r="AO114" s="182"/>
      <c r="AP114" s="182"/>
      <c r="AQ114" s="182"/>
      <c r="AR114" s="182"/>
      <c r="AS114" s="182"/>
      <c r="AT114" s="182"/>
      <c r="AU114" s="182"/>
      <c r="AV114" s="182"/>
      <c r="AW114" s="182"/>
      <c r="AX114" s="182"/>
      <c r="AY114" s="182"/>
      <c r="AZ114" s="182"/>
      <c r="BA114" s="182"/>
      <c r="BB114" s="182"/>
      <c r="BC114" s="182"/>
      <c r="BD114" s="182"/>
      <c r="BE114" s="182"/>
      <c r="BF114" s="182"/>
    </row>
    <row r="115" spans="1:58" ht="15.75" customHeight="1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  <c r="AM115" s="182"/>
      <c r="AN115" s="182"/>
      <c r="AO115" s="182"/>
      <c r="AP115" s="182"/>
      <c r="AQ115" s="182"/>
      <c r="AR115" s="182"/>
      <c r="AS115" s="182"/>
      <c r="AT115" s="182"/>
      <c r="AU115" s="182"/>
      <c r="AV115" s="182"/>
      <c r="AW115" s="182"/>
      <c r="AX115" s="182"/>
      <c r="AY115" s="182"/>
      <c r="AZ115" s="182"/>
      <c r="BA115" s="182"/>
      <c r="BB115" s="182"/>
      <c r="BC115" s="182"/>
      <c r="BD115" s="182"/>
      <c r="BE115" s="182"/>
      <c r="BF115" s="182"/>
    </row>
    <row r="116" spans="1:58" ht="15.75" customHeight="1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  <c r="AM116" s="182"/>
      <c r="AN116" s="182"/>
      <c r="AO116" s="182"/>
      <c r="AP116" s="182"/>
      <c r="AQ116" s="182"/>
      <c r="AR116" s="182"/>
      <c r="AS116" s="182"/>
      <c r="AT116" s="182"/>
      <c r="AU116" s="182"/>
      <c r="AV116" s="182"/>
      <c r="AW116" s="182"/>
      <c r="AX116" s="182"/>
      <c r="AY116" s="182"/>
      <c r="AZ116" s="182"/>
      <c r="BA116" s="182"/>
      <c r="BB116" s="182"/>
      <c r="BC116" s="182"/>
      <c r="BD116" s="182"/>
      <c r="BE116" s="182"/>
      <c r="BF116" s="182"/>
    </row>
    <row r="117" spans="1:58" ht="15.75" customHeight="1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  <c r="AP117" s="182"/>
      <c r="AQ117" s="182"/>
      <c r="AR117" s="182"/>
      <c r="AS117" s="182"/>
      <c r="AT117" s="182"/>
      <c r="AU117" s="182"/>
      <c r="AV117" s="182"/>
      <c r="AW117" s="182"/>
      <c r="AX117" s="182"/>
      <c r="AY117" s="182"/>
      <c r="AZ117" s="182"/>
      <c r="BA117" s="182"/>
      <c r="BB117" s="182"/>
      <c r="BC117" s="182"/>
      <c r="BD117" s="182"/>
      <c r="BE117" s="182"/>
      <c r="BF117" s="182"/>
    </row>
    <row r="118" spans="1:58" ht="15.75" customHeight="1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2"/>
      <c r="AR118" s="182"/>
      <c r="AS118" s="182"/>
      <c r="AT118" s="182"/>
      <c r="AU118" s="182"/>
      <c r="AV118" s="182"/>
      <c r="AW118" s="182"/>
      <c r="AX118" s="182"/>
      <c r="AY118" s="182"/>
      <c r="AZ118" s="182"/>
      <c r="BA118" s="182"/>
      <c r="BB118" s="182"/>
      <c r="BC118" s="182"/>
      <c r="BD118" s="182"/>
      <c r="BE118" s="182"/>
      <c r="BF118" s="182"/>
    </row>
    <row r="119" spans="1:58" ht="15.75" customHeight="1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  <c r="AM119" s="182"/>
      <c r="AN119" s="182"/>
      <c r="AO119" s="182"/>
      <c r="AP119" s="182"/>
      <c r="AQ119" s="182"/>
      <c r="AR119" s="182"/>
      <c r="AS119" s="182"/>
      <c r="AT119" s="182"/>
      <c r="AU119" s="182"/>
      <c r="AV119" s="182"/>
      <c r="AW119" s="182"/>
      <c r="AX119" s="182"/>
      <c r="AY119" s="182"/>
      <c r="AZ119" s="182"/>
      <c r="BA119" s="182"/>
      <c r="BB119" s="182"/>
      <c r="BC119" s="182"/>
      <c r="BD119" s="182"/>
      <c r="BE119" s="182"/>
      <c r="BF119" s="182"/>
    </row>
    <row r="120" spans="1:58" ht="15.75" customHeight="1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  <c r="AM120" s="182"/>
      <c r="AN120" s="182"/>
      <c r="AO120" s="182"/>
      <c r="AP120" s="182"/>
      <c r="AQ120" s="182"/>
      <c r="AR120" s="182"/>
      <c r="AS120" s="182"/>
      <c r="AT120" s="182"/>
      <c r="AU120" s="182"/>
      <c r="AV120" s="182"/>
      <c r="AW120" s="182"/>
      <c r="AX120" s="182"/>
      <c r="AY120" s="182"/>
      <c r="AZ120" s="182"/>
      <c r="BA120" s="182"/>
      <c r="BB120" s="182"/>
      <c r="BC120" s="182"/>
      <c r="BD120" s="182"/>
      <c r="BE120" s="182"/>
      <c r="BF120" s="182"/>
    </row>
    <row r="121" spans="1:58" ht="15.75" customHeight="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82"/>
      <c r="AM121" s="182"/>
      <c r="AN121" s="182"/>
      <c r="AO121" s="182"/>
      <c r="AP121" s="182"/>
      <c r="AQ121" s="182"/>
      <c r="AR121" s="182"/>
      <c r="AS121" s="182"/>
      <c r="AT121" s="182"/>
      <c r="AU121" s="182"/>
      <c r="AV121" s="182"/>
      <c r="AW121" s="182"/>
      <c r="AX121" s="182"/>
      <c r="AY121" s="182"/>
      <c r="AZ121" s="182"/>
      <c r="BA121" s="182"/>
      <c r="BB121" s="182"/>
      <c r="BC121" s="182"/>
      <c r="BD121" s="182"/>
      <c r="BE121" s="182"/>
      <c r="BF121" s="182"/>
    </row>
    <row r="122" spans="1:58" ht="15.75" customHeight="1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2"/>
      <c r="AK122" s="182"/>
      <c r="AL122" s="182"/>
      <c r="AM122" s="182"/>
      <c r="AN122" s="182"/>
      <c r="AO122" s="182"/>
      <c r="AP122" s="182"/>
      <c r="AQ122" s="182"/>
      <c r="AR122" s="182"/>
      <c r="AS122" s="182"/>
      <c r="AT122" s="182"/>
      <c r="AU122" s="182"/>
      <c r="AV122" s="182"/>
      <c r="AW122" s="182"/>
      <c r="AX122" s="182"/>
      <c r="AY122" s="182"/>
      <c r="AZ122" s="182"/>
      <c r="BA122" s="182"/>
      <c r="BB122" s="182"/>
      <c r="BC122" s="182"/>
      <c r="BD122" s="182"/>
      <c r="BE122" s="182"/>
      <c r="BF122" s="182"/>
    </row>
    <row r="123" spans="1:58" ht="15.75" customHeight="1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2"/>
      <c r="AM123" s="182"/>
      <c r="AN123" s="182"/>
      <c r="AO123" s="182"/>
      <c r="AP123" s="182"/>
      <c r="AQ123" s="182"/>
      <c r="AR123" s="182"/>
      <c r="AS123" s="182"/>
      <c r="AT123" s="182"/>
      <c r="AU123" s="182"/>
      <c r="AV123" s="182"/>
      <c r="AW123" s="182"/>
      <c r="AX123" s="182"/>
      <c r="AY123" s="182"/>
      <c r="AZ123" s="182"/>
      <c r="BA123" s="182"/>
      <c r="BB123" s="182"/>
      <c r="BC123" s="182"/>
      <c r="BD123" s="182"/>
      <c r="BE123" s="182"/>
      <c r="BF123" s="182"/>
    </row>
    <row r="124" spans="1:58" ht="15.75" customHeight="1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2"/>
      <c r="AK124" s="182"/>
      <c r="AL124" s="182"/>
      <c r="AM124" s="182"/>
      <c r="AN124" s="182"/>
      <c r="AO124" s="182"/>
      <c r="AP124" s="182"/>
      <c r="AQ124" s="182"/>
      <c r="AR124" s="182"/>
      <c r="AS124" s="182"/>
      <c r="AT124" s="182"/>
      <c r="AU124" s="182"/>
      <c r="AV124" s="182"/>
      <c r="AW124" s="182"/>
      <c r="AX124" s="182"/>
      <c r="AY124" s="182"/>
      <c r="AZ124" s="182"/>
      <c r="BA124" s="182"/>
      <c r="BB124" s="182"/>
      <c r="BC124" s="182"/>
      <c r="BD124" s="182"/>
      <c r="BE124" s="182"/>
      <c r="BF124" s="182"/>
    </row>
    <row r="125" spans="1:58" ht="15.75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82"/>
      <c r="AM125" s="182"/>
      <c r="AN125" s="182"/>
      <c r="AO125" s="182"/>
      <c r="AP125" s="182"/>
      <c r="AQ125" s="182"/>
      <c r="AR125" s="182"/>
      <c r="AS125" s="182"/>
      <c r="AT125" s="182"/>
      <c r="AU125" s="182"/>
      <c r="AV125" s="182"/>
      <c r="AW125" s="182"/>
      <c r="AX125" s="182"/>
      <c r="AY125" s="182"/>
      <c r="AZ125" s="182"/>
      <c r="BA125" s="182"/>
      <c r="BB125" s="182"/>
      <c r="BC125" s="182"/>
      <c r="BD125" s="182"/>
      <c r="BE125" s="182"/>
      <c r="BF125" s="182"/>
    </row>
    <row r="126" spans="1:58" ht="15.75" customHeight="1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  <c r="AM126" s="182"/>
      <c r="AN126" s="182"/>
      <c r="AO126" s="182"/>
      <c r="AP126" s="182"/>
      <c r="AQ126" s="182"/>
      <c r="AR126" s="182"/>
      <c r="AS126" s="182"/>
      <c r="AT126" s="182"/>
      <c r="AU126" s="182"/>
      <c r="AV126" s="182"/>
      <c r="AW126" s="182"/>
      <c r="AX126" s="182"/>
      <c r="AY126" s="182"/>
      <c r="AZ126" s="182"/>
      <c r="BA126" s="182"/>
      <c r="BB126" s="182"/>
      <c r="BC126" s="182"/>
      <c r="BD126" s="182"/>
      <c r="BE126" s="182"/>
      <c r="BF126" s="182"/>
    </row>
    <row r="127" spans="1:58" ht="15.75" customHeight="1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  <c r="AM127" s="182"/>
      <c r="AN127" s="182"/>
      <c r="AO127" s="182"/>
      <c r="AP127" s="182"/>
      <c r="AQ127" s="182"/>
      <c r="AR127" s="182"/>
      <c r="AS127" s="182"/>
      <c r="AT127" s="182"/>
      <c r="AU127" s="182"/>
      <c r="AV127" s="182"/>
      <c r="AW127" s="182"/>
      <c r="AX127" s="182"/>
      <c r="AY127" s="182"/>
      <c r="AZ127" s="182"/>
      <c r="BA127" s="182"/>
      <c r="BB127" s="182"/>
      <c r="BC127" s="182"/>
      <c r="BD127" s="182"/>
      <c r="BE127" s="182"/>
      <c r="BF127" s="182"/>
    </row>
    <row r="128" spans="1:58" ht="15.75" customHeight="1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2"/>
      <c r="AK128" s="182"/>
      <c r="AL128" s="182"/>
      <c r="AM128" s="182"/>
      <c r="AN128" s="182"/>
      <c r="AO128" s="182"/>
      <c r="AP128" s="182"/>
      <c r="AQ128" s="182"/>
      <c r="AR128" s="182"/>
      <c r="AS128" s="182"/>
      <c r="AT128" s="182"/>
      <c r="AU128" s="182"/>
      <c r="AV128" s="182"/>
      <c r="AW128" s="182"/>
      <c r="AX128" s="182"/>
      <c r="AY128" s="182"/>
      <c r="AZ128" s="182"/>
      <c r="BA128" s="182"/>
      <c r="BB128" s="182"/>
      <c r="BC128" s="182"/>
      <c r="BD128" s="182"/>
      <c r="BE128" s="182"/>
      <c r="BF128" s="182"/>
    </row>
    <row r="129" spans="1:58" ht="15.75" customHeight="1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82"/>
      <c r="AM129" s="182"/>
      <c r="AN129" s="182"/>
      <c r="AO129" s="182"/>
      <c r="AP129" s="182"/>
      <c r="AQ129" s="182"/>
      <c r="AR129" s="182"/>
      <c r="AS129" s="182"/>
      <c r="AT129" s="182"/>
      <c r="AU129" s="182"/>
      <c r="AV129" s="182"/>
      <c r="AW129" s="182"/>
      <c r="AX129" s="182"/>
      <c r="AY129" s="182"/>
      <c r="AZ129" s="182"/>
      <c r="BA129" s="182"/>
      <c r="BB129" s="182"/>
      <c r="BC129" s="182"/>
      <c r="BD129" s="182"/>
      <c r="BE129" s="182"/>
      <c r="BF129" s="182"/>
    </row>
    <row r="130" spans="1:58" ht="15.75" customHeight="1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182"/>
      <c r="AI130" s="182"/>
      <c r="AJ130" s="182"/>
      <c r="AK130" s="182"/>
      <c r="AL130" s="182"/>
      <c r="AM130" s="182"/>
      <c r="AN130" s="182"/>
      <c r="AO130" s="182"/>
      <c r="AP130" s="182"/>
      <c r="AQ130" s="182"/>
      <c r="AR130" s="182"/>
      <c r="AS130" s="182"/>
      <c r="AT130" s="182"/>
      <c r="AU130" s="182"/>
      <c r="AV130" s="182"/>
      <c r="AW130" s="182"/>
      <c r="AX130" s="182"/>
      <c r="AY130" s="182"/>
      <c r="AZ130" s="182"/>
      <c r="BA130" s="182"/>
      <c r="BB130" s="182"/>
      <c r="BC130" s="182"/>
      <c r="BD130" s="182"/>
      <c r="BE130" s="182"/>
      <c r="BF130" s="182"/>
    </row>
    <row r="131" spans="1:58" ht="15.75" customHeight="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2"/>
      <c r="AK131" s="182"/>
      <c r="AL131" s="182"/>
      <c r="AM131" s="182"/>
      <c r="AN131" s="182"/>
      <c r="AO131" s="182"/>
      <c r="AP131" s="182"/>
      <c r="AQ131" s="182"/>
      <c r="AR131" s="182"/>
      <c r="AS131" s="182"/>
      <c r="AT131" s="182"/>
      <c r="AU131" s="182"/>
      <c r="AV131" s="182"/>
      <c r="AW131" s="182"/>
      <c r="AX131" s="182"/>
      <c r="AY131" s="182"/>
      <c r="AZ131" s="182"/>
      <c r="BA131" s="182"/>
      <c r="BB131" s="182"/>
      <c r="BC131" s="182"/>
      <c r="BD131" s="182"/>
      <c r="BE131" s="182"/>
      <c r="BF131" s="182"/>
    </row>
    <row r="132" spans="1:58" ht="15.75" customHeight="1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2"/>
      <c r="AK132" s="182"/>
      <c r="AL132" s="182"/>
      <c r="AM132" s="182"/>
      <c r="AN132" s="182"/>
      <c r="AO132" s="182"/>
      <c r="AP132" s="182"/>
      <c r="AQ132" s="182"/>
      <c r="AR132" s="182"/>
      <c r="AS132" s="182"/>
      <c r="AT132" s="182"/>
      <c r="AU132" s="182"/>
      <c r="AV132" s="182"/>
      <c r="AW132" s="182"/>
      <c r="AX132" s="182"/>
      <c r="AY132" s="182"/>
      <c r="AZ132" s="182"/>
      <c r="BA132" s="182"/>
      <c r="BB132" s="182"/>
      <c r="BC132" s="182"/>
      <c r="BD132" s="182"/>
      <c r="BE132" s="182"/>
      <c r="BF132" s="182"/>
    </row>
    <row r="133" spans="1:58" ht="15.75" customHeight="1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82"/>
      <c r="AM133" s="182"/>
      <c r="AN133" s="182"/>
      <c r="AO133" s="182"/>
      <c r="AP133" s="182"/>
      <c r="AQ133" s="182"/>
      <c r="AR133" s="182"/>
      <c r="AS133" s="182"/>
      <c r="AT133" s="182"/>
      <c r="AU133" s="182"/>
      <c r="AV133" s="182"/>
      <c r="AW133" s="182"/>
      <c r="AX133" s="182"/>
      <c r="AY133" s="182"/>
      <c r="AZ133" s="182"/>
      <c r="BA133" s="182"/>
      <c r="BB133" s="182"/>
      <c r="BC133" s="182"/>
      <c r="BD133" s="182"/>
      <c r="BE133" s="182"/>
      <c r="BF133" s="182"/>
    </row>
    <row r="134" spans="1:58" ht="15.75" customHeight="1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82"/>
      <c r="AM134" s="182"/>
      <c r="AN134" s="182"/>
      <c r="AO134" s="182"/>
      <c r="AP134" s="182"/>
      <c r="AQ134" s="182"/>
      <c r="AR134" s="182"/>
      <c r="AS134" s="182"/>
      <c r="AT134" s="182"/>
      <c r="AU134" s="182"/>
      <c r="AV134" s="182"/>
      <c r="AW134" s="182"/>
      <c r="AX134" s="182"/>
      <c r="AY134" s="182"/>
      <c r="AZ134" s="182"/>
      <c r="BA134" s="182"/>
      <c r="BB134" s="182"/>
      <c r="BC134" s="182"/>
      <c r="BD134" s="182"/>
      <c r="BE134" s="182"/>
      <c r="BF134" s="182"/>
    </row>
    <row r="135" spans="1:58" ht="15.75" customHeight="1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  <c r="AH135" s="182"/>
      <c r="AI135" s="182"/>
      <c r="AJ135" s="182"/>
      <c r="AK135" s="182"/>
      <c r="AL135" s="182"/>
      <c r="AM135" s="182"/>
      <c r="AN135" s="182"/>
      <c r="AO135" s="182"/>
      <c r="AP135" s="182"/>
      <c r="AQ135" s="182"/>
      <c r="AR135" s="182"/>
      <c r="AS135" s="182"/>
      <c r="AT135" s="182"/>
      <c r="AU135" s="182"/>
      <c r="AV135" s="182"/>
      <c r="AW135" s="182"/>
      <c r="AX135" s="182"/>
      <c r="AY135" s="182"/>
      <c r="AZ135" s="182"/>
      <c r="BA135" s="182"/>
      <c r="BB135" s="182"/>
      <c r="BC135" s="182"/>
      <c r="BD135" s="182"/>
      <c r="BE135" s="182"/>
      <c r="BF135" s="182"/>
    </row>
    <row r="136" spans="1:58" ht="15.75" customHeight="1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/>
      <c r="AK136" s="182"/>
      <c r="AL136" s="182"/>
      <c r="AM136" s="182"/>
      <c r="AN136" s="182"/>
      <c r="AO136" s="182"/>
      <c r="AP136" s="182"/>
      <c r="AQ136" s="182"/>
      <c r="AR136" s="182"/>
      <c r="AS136" s="182"/>
      <c r="AT136" s="182"/>
      <c r="AU136" s="182"/>
      <c r="AV136" s="182"/>
      <c r="AW136" s="182"/>
      <c r="AX136" s="182"/>
      <c r="AY136" s="182"/>
      <c r="AZ136" s="182"/>
      <c r="BA136" s="182"/>
      <c r="BB136" s="182"/>
      <c r="BC136" s="182"/>
      <c r="BD136" s="182"/>
      <c r="BE136" s="182"/>
      <c r="BF136" s="182"/>
    </row>
    <row r="137" spans="1:58" ht="15.75" customHeight="1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  <c r="AG137" s="182"/>
      <c r="AH137" s="182"/>
      <c r="AI137" s="182"/>
      <c r="AJ137" s="182"/>
      <c r="AK137" s="182"/>
      <c r="AL137" s="182"/>
      <c r="AM137" s="182"/>
      <c r="AN137" s="182"/>
      <c r="AO137" s="182"/>
      <c r="AP137" s="182"/>
      <c r="AQ137" s="182"/>
      <c r="AR137" s="182"/>
      <c r="AS137" s="182"/>
      <c r="AT137" s="182"/>
      <c r="AU137" s="182"/>
      <c r="AV137" s="182"/>
      <c r="AW137" s="182"/>
      <c r="AX137" s="182"/>
      <c r="AY137" s="182"/>
      <c r="AZ137" s="182"/>
      <c r="BA137" s="182"/>
      <c r="BB137" s="182"/>
      <c r="BC137" s="182"/>
      <c r="BD137" s="182"/>
      <c r="BE137" s="182"/>
      <c r="BF137" s="182"/>
    </row>
    <row r="138" spans="1:58" ht="15.75" customHeight="1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182"/>
      <c r="AM138" s="182"/>
      <c r="AN138" s="182"/>
      <c r="AO138" s="182"/>
      <c r="AP138" s="182"/>
      <c r="AQ138" s="182"/>
      <c r="AR138" s="182"/>
      <c r="AS138" s="182"/>
      <c r="AT138" s="182"/>
      <c r="AU138" s="182"/>
      <c r="AV138" s="182"/>
      <c r="AW138" s="182"/>
      <c r="AX138" s="182"/>
      <c r="AY138" s="182"/>
      <c r="AZ138" s="182"/>
      <c r="BA138" s="182"/>
      <c r="BB138" s="182"/>
      <c r="BC138" s="182"/>
      <c r="BD138" s="182"/>
      <c r="BE138" s="182"/>
      <c r="BF138" s="182"/>
    </row>
    <row r="139" spans="1:58" ht="15.75" customHeight="1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182"/>
      <c r="AM139" s="182"/>
      <c r="AN139" s="182"/>
      <c r="AO139" s="182"/>
      <c r="AP139" s="182"/>
      <c r="AQ139" s="182"/>
      <c r="AR139" s="182"/>
      <c r="AS139" s="182"/>
      <c r="AT139" s="182"/>
      <c r="AU139" s="182"/>
      <c r="AV139" s="182"/>
      <c r="AW139" s="182"/>
      <c r="AX139" s="182"/>
      <c r="AY139" s="182"/>
      <c r="AZ139" s="182"/>
      <c r="BA139" s="182"/>
      <c r="BB139" s="182"/>
      <c r="BC139" s="182"/>
      <c r="BD139" s="182"/>
      <c r="BE139" s="182"/>
      <c r="BF139" s="182"/>
    </row>
    <row r="140" spans="1:58" ht="15.75" customHeight="1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182"/>
      <c r="AM140" s="182"/>
      <c r="AN140" s="182"/>
      <c r="AO140" s="182"/>
      <c r="AP140" s="182"/>
      <c r="AQ140" s="182"/>
      <c r="AR140" s="182"/>
      <c r="AS140" s="182"/>
      <c r="AT140" s="182"/>
      <c r="AU140" s="182"/>
      <c r="AV140" s="182"/>
      <c r="AW140" s="182"/>
      <c r="AX140" s="182"/>
      <c r="AY140" s="182"/>
      <c r="AZ140" s="182"/>
      <c r="BA140" s="182"/>
      <c r="BB140" s="182"/>
      <c r="BC140" s="182"/>
      <c r="BD140" s="182"/>
      <c r="BE140" s="182"/>
      <c r="BF140" s="182"/>
    </row>
    <row r="141" spans="1:58" ht="15.75" customHeight="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182"/>
      <c r="AM141" s="182"/>
      <c r="AN141" s="182"/>
      <c r="AO141" s="182"/>
      <c r="AP141" s="182"/>
      <c r="AQ141" s="182"/>
      <c r="AR141" s="182"/>
      <c r="AS141" s="182"/>
      <c r="AT141" s="182"/>
      <c r="AU141" s="182"/>
      <c r="AV141" s="182"/>
      <c r="AW141" s="182"/>
      <c r="AX141" s="182"/>
      <c r="AY141" s="182"/>
      <c r="AZ141" s="182"/>
      <c r="BA141" s="182"/>
      <c r="BB141" s="182"/>
      <c r="BC141" s="182"/>
      <c r="BD141" s="182"/>
      <c r="BE141" s="182"/>
      <c r="BF141" s="182"/>
    </row>
    <row r="142" spans="1:58" ht="15.75" customHeight="1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  <c r="AC142" s="182"/>
      <c r="AD142" s="182"/>
      <c r="AE142" s="182"/>
      <c r="AF142" s="182"/>
      <c r="AG142" s="182"/>
      <c r="AH142" s="182"/>
      <c r="AI142" s="182"/>
      <c r="AJ142" s="182"/>
      <c r="AK142" s="182"/>
      <c r="AL142" s="182"/>
      <c r="AM142" s="182"/>
      <c r="AN142" s="182"/>
      <c r="AO142" s="182"/>
      <c r="AP142" s="182"/>
      <c r="AQ142" s="182"/>
      <c r="AR142" s="182"/>
      <c r="AS142" s="182"/>
      <c r="AT142" s="182"/>
      <c r="AU142" s="182"/>
      <c r="AV142" s="182"/>
      <c r="AW142" s="182"/>
      <c r="AX142" s="182"/>
      <c r="AY142" s="182"/>
      <c r="AZ142" s="182"/>
      <c r="BA142" s="182"/>
      <c r="BB142" s="182"/>
      <c r="BC142" s="182"/>
      <c r="BD142" s="182"/>
      <c r="BE142" s="182"/>
      <c r="BF142" s="182"/>
    </row>
    <row r="143" spans="1:58" ht="15.75" customHeight="1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82"/>
      <c r="AM143" s="182"/>
      <c r="AN143" s="182"/>
      <c r="AO143" s="182"/>
      <c r="AP143" s="182"/>
      <c r="AQ143" s="182"/>
      <c r="AR143" s="182"/>
      <c r="AS143" s="182"/>
      <c r="AT143" s="182"/>
      <c r="AU143" s="182"/>
      <c r="AV143" s="182"/>
      <c r="AW143" s="182"/>
      <c r="AX143" s="182"/>
      <c r="AY143" s="182"/>
      <c r="AZ143" s="182"/>
      <c r="BA143" s="182"/>
      <c r="BB143" s="182"/>
      <c r="BC143" s="182"/>
      <c r="BD143" s="182"/>
      <c r="BE143" s="182"/>
      <c r="BF143" s="182"/>
    </row>
    <row r="144" spans="1:58" ht="15.75" customHeight="1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  <c r="AH144" s="182"/>
      <c r="AI144" s="182"/>
      <c r="AJ144" s="182"/>
      <c r="AK144" s="182"/>
      <c r="AL144" s="182"/>
      <c r="AM144" s="182"/>
      <c r="AN144" s="182"/>
      <c r="AO144" s="182"/>
      <c r="AP144" s="182"/>
      <c r="AQ144" s="182"/>
      <c r="AR144" s="182"/>
      <c r="AS144" s="182"/>
      <c r="AT144" s="182"/>
      <c r="AU144" s="182"/>
      <c r="AV144" s="182"/>
      <c r="AW144" s="182"/>
      <c r="AX144" s="182"/>
      <c r="AY144" s="182"/>
      <c r="AZ144" s="182"/>
      <c r="BA144" s="182"/>
      <c r="BB144" s="182"/>
      <c r="BC144" s="182"/>
      <c r="BD144" s="182"/>
      <c r="BE144" s="182"/>
      <c r="BF144" s="182"/>
    </row>
    <row r="145" spans="1:58" ht="15.75" customHeight="1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82"/>
      <c r="AM145" s="182"/>
      <c r="AN145" s="182"/>
      <c r="AO145" s="182"/>
      <c r="AP145" s="182"/>
      <c r="AQ145" s="182"/>
      <c r="AR145" s="182"/>
      <c r="AS145" s="182"/>
      <c r="AT145" s="182"/>
      <c r="AU145" s="182"/>
      <c r="AV145" s="182"/>
      <c r="AW145" s="182"/>
      <c r="AX145" s="182"/>
      <c r="AY145" s="182"/>
      <c r="AZ145" s="182"/>
      <c r="BA145" s="182"/>
      <c r="BB145" s="182"/>
      <c r="BC145" s="182"/>
      <c r="BD145" s="182"/>
      <c r="BE145" s="182"/>
      <c r="BF145" s="182"/>
    </row>
    <row r="146" spans="1:58" ht="15.75" customHeight="1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182"/>
      <c r="AI146" s="182"/>
      <c r="AJ146" s="182"/>
      <c r="AK146" s="182"/>
      <c r="AL146" s="182"/>
      <c r="AM146" s="182"/>
      <c r="AN146" s="182"/>
      <c r="AO146" s="182"/>
      <c r="AP146" s="182"/>
      <c r="AQ146" s="182"/>
      <c r="AR146" s="182"/>
      <c r="AS146" s="182"/>
      <c r="AT146" s="182"/>
      <c r="AU146" s="182"/>
      <c r="AV146" s="182"/>
      <c r="AW146" s="182"/>
      <c r="AX146" s="182"/>
      <c r="AY146" s="182"/>
      <c r="AZ146" s="182"/>
      <c r="BA146" s="182"/>
      <c r="BB146" s="182"/>
      <c r="BC146" s="182"/>
      <c r="BD146" s="182"/>
      <c r="BE146" s="182"/>
      <c r="BF146" s="182"/>
    </row>
    <row r="147" spans="1:58" ht="15.75" customHeight="1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82"/>
      <c r="AM147" s="182"/>
      <c r="AN147" s="182"/>
      <c r="AO147" s="182"/>
      <c r="AP147" s="182"/>
      <c r="AQ147" s="182"/>
      <c r="AR147" s="182"/>
      <c r="AS147" s="182"/>
      <c r="AT147" s="182"/>
      <c r="AU147" s="182"/>
      <c r="AV147" s="182"/>
      <c r="AW147" s="182"/>
      <c r="AX147" s="182"/>
      <c r="AY147" s="182"/>
      <c r="AZ147" s="182"/>
      <c r="BA147" s="182"/>
      <c r="BB147" s="182"/>
      <c r="BC147" s="182"/>
      <c r="BD147" s="182"/>
      <c r="BE147" s="182"/>
      <c r="BF147" s="182"/>
    </row>
    <row r="148" spans="1:58" ht="15.75" customHeight="1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  <c r="AF148" s="182"/>
      <c r="AG148" s="182"/>
      <c r="AH148" s="182"/>
      <c r="AI148" s="182"/>
      <c r="AJ148" s="182"/>
      <c r="AK148" s="182"/>
      <c r="AL148" s="182"/>
      <c r="AM148" s="182"/>
      <c r="AN148" s="182"/>
      <c r="AO148" s="182"/>
      <c r="AP148" s="182"/>
      <c r="AQ148" s="182"/>
      <c r="AR148" s="182"/>
      <c r="AS148" s="182"/>
      <c r="AT148" s="182"/>
      <c r="AU148" s="182"/>
      <c r="AV148" s="182"/>
      <c r="AW148" s="182"/>
      <c r="AX148" s="182"/>
      <c r="AY148" s="182"/>
      <c r="AZ148" s="182"/>
      <c r="BA148" s="182"/>
      <c r="BB148" s="182"/>
      <c r="BC148" s="182"/>
      <c r="BD148" s="182"/>
      <c r="BE148" s="182"/>
      <c r="BF148" s="182"/>
    </row>
    <row r="149" spans="1:58" ht="15.75" customHeight="1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  <c r="AF149" s="182"/>
      <c r="AG149" s="182"/>
      <c r="AH149" s="182"/>
      <c r="AI149" s="182"/>
      <c r="AJ149" s="182"/>
      <c r="AK149" s="182"/>
      <c r="AL149" s="182"/>
      <c r="AM149" s="182"/>
      <c r="AN149" s="182"/>
      <c r="AO149" s="182"/>
      <c r="AP149" s="182"/>
      <c r="AQ149" s="182"/>
      <c r="AR149" s="182"/>
      <c r="AS149" s="182"/>
      <c r="AT149" s="182"/>
      <c r="AU149" s="182"/>
      <c r="AV149" s="182"/>
      <c r="AW149" s="182"/>
      <c r="AX149" s="182"/>
      <c r="AY149" s="182"/>
      <c r="AZ149" s="182"/>
      <c r="BA149" s="182"/>
      <c r="BB149" s="182"/>
      <c r="BC149" s="182"/>
      <c r="BD149" s="182"/>
      <c r="BE149" s="182"/>
      <c r="BF149" s="182"/>
    </row>
    <row r="150" spans="1:58" ht="15.75" customHeight="1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/>
      <c r="AK150" s="182"/>
      <c r="AL150" s="182"/>
      <c r="AM150" s="182"/>
      <c r="AN150" s="182"/>
      <c r="AO150" s="182"/>
      <c r="AP150" s="182"/>
      <c r="AQ150" s="182"/>
      <c r="AR150" s="182"/>
      <c r="AS150" s="182"/>
      <c r="AT150" s="182"/>
      <c r="AU150" s="182"/>
      <c r="AV150" s="182"/>
      <c r="AW150" s="182"/>
      <c r="AX150" s="182"/>
      <c r="AY150" s="182"/>
      <c r="AZ150" s="182"/>
      <c r="BA150" s="182"/>
      <c r="BB150" s="182"/>
      <c r="BC150" s="182"/>
      <c r="BD150" s="182"/>
      <c r="BE150" s="182"/>
      <c r="BF150" s="182"/>
    </row>
    <row r="151" spans="1:58" ht="15.75" customHeight="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82"/>
      <c r="AM151" s="182"/>
      <c r="AN151" s="182"/>
      <c r="AO151" s="182"/>
      <c r="AP151" s="182"/>
      <c r="AQ151" s="182"/>
      <c r="AR151" s="182"/>
      <c r="AS151" s="182"/>
      <c r="AT151" s="182"/>
      <c r="AU151" s="182"/>
      <c r="AV151" s="182"/>
      <c r="AW151" s="182"/>
      <c r="AX151" s="182"/>
      <c r="AY151" s="182"/>
      <c r="AZ151" s="182"/>
      <c r="BA151" s="182"/>
      <c r="BB151" s="182"/>
      <c r="BC151" s="182"/>
      <c r="BD151" s="182"/>
      <c r="BE151" s="182"/>
      <c r="BF151" s="182"/>
    </row>
    <row r="152" spans="1:58" ht="15.75" customHeight="1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  <c r="AG152" s="182"/>
      <c r="AH152" s="182"/>
      <c r="AI152" s="182"/>
      <c r="AJ152" s="182"/>
      <c r="AK152" s="182"/>
      <c r="AL152" s="182"/>
      <c r="AM152" s="182"/>
      <c r="AN152" s="182"/>
      <c r="AO152" s="182"/>
      <c r="AP152" s="182"/>
      <c r="AQ152" s="182"/>
      <c r="AR152" s="182"/>
      <c r="AS152" s="182"/>
      <c r="AT152" s="182"/>
      <c r="AU152" s="182"/>
      <c r="AV152" s="182"/>
      <c r="AW152" s="182"/>
      <c r="AX152" s="182"/>
      <c r="AY152" s="182"/>
      <c r="AZ152" s="182"/>
      <c r="BA152" s="182"/>
      <c r="BB152" s="182"/>
      <c r="BC152" s="182"/>
      <c r="BD152" s="182"/>
      <c r="BE152" s="182"/>
      <c r="BF152" s="182"/>
    </row>
    <row r="153" spans="1:58" ht="15.75" customHeight="1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82"/>
      <c r="AM153" s="182"/>
      <c r="AN153" s="182"/>
      <c r="AO153" s="182"/>
      <c r="AP153" s="182"/>
      <c r="AQ153" s="182"/>
      <c r="AR153" s="182"/>
      <c r="AS153" s="182"/>
      <c r="AT153" s="182"/>
      <c r="AU153" s="182"/>
      <c r="AV153" s="182"/>
      <c r="AW153" s="182"/>
      <c r="AX153" s="182"/>
      <c r="AY153" s="182"/>
      <c r="AZ153" s="182"/>
      <c r="BA153" s="182"/>
      <c r="BB153" s="182"/>
      <c r="BC153" s="182"/>
      <c r="BD153" s="182"/>
      <c r="BE153" s="182"/>
      <c r="BF153" s="182"/>
    </row>
    <row r="154" spans="1:58" ht="15.75" customHeight="1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  <c r="AC154" s="182"/>
      <c r="AD154" s="182"/>
      <c r="AE154" s="182"/>
      <c r="AF154" s="182"/>
      <c r="AG154" s="182"/>
      <c r="AH154" s="182"/>
      <c r="AI154" s="182"/>
      <c r="AJ154" s="182"/>
      <c r="AK154" s="182"/>
      <c r="AL154" s="182"/>
      <c r="AM154" s="182"/>
      <c r="AN154" s="182"/>
      <c r="AO154" s="182"/>
      <c r="AP154" s="182"/>
      <c r="AQ154" s="182"/>
      <c r="AR154" s="182"/>
      <c r="AS154" s="182"/>
      <c r="AT154" s="182"/>
      <c r="AU154" s="182"/>
      <c r="AV154" s="182"/>
      <c r="AW154" s="182"/>
      <c r="AX154" s="182"/>
      <c r="AY154" s="182"/>
      <c r="AZ154" s="182"/>
      <c r="BA154" s="182"/>
      <c r="BB154" s="182"/>
      <c r="BC154" s="182"/>
      <c r="BD154" s="182"/>
      <c r="BE154" s="182"/>
      <c r="BF154" s="182"/>
    </row>
    <row r="155" spans="1:58" ht="15.75" customHeight="1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  <c r="AC155" s="182"/>
      <c r="AD155" s="182"/>
      <c r="AE155" s="182"/>
      <c r="AF155" s="182"/>
      <c r="AG155" s="182"/>
      <c r="AH155" s="182"/>
      <c r="AI155" s="182"/>
      <c r="AJ155" s="182"/>
      <c r="AK155" s="182"/>
      <c r="AL155" s="182"/>
      <c r="AM155" s="182"/>
      <c r="AN155" s="182"/>
      <c r="AO155" s="182"/>
      <c r="AP155" s="182"/>
      <c r="AQ155" s="182"/>
      <c r="AR155" s="182"/>
      <c r="AS155" s="182"/>
      <c r="AT155" s="182"/>
      <c r="AU155" s="182"/>
      <c r="AV155" s="182"/>
      <c r="AW155" s="182"/>
      <c r="AX155" s="182"/>
      <c r="AY155" s="182"/>
      <c r="AZ155" s="182"/>
      <c r="BA155" s="182"/>
      <c r="BB155" s="182"/>
      <c r="BC155" s="182"/>
      <c r="BD155" s="182"/>
      <c r="BE155" s="182"/>
      <c r="BF155" s="182"/>
    </row>
    <row r="156" spans="1:58" ht="15.75" customHeight="1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82"/>
      <c r="AM156" s="182"/>
      <c r="AN156" s="182"/>
      <c r="AO156" s="182"/>
      <c r="AP156" s="182"/>
      <c r="AQ156" s="182"/>
      <c r="AR156" s="182"/>
      <c r="AS156" s="182"/>
      <c r="AT156" s="182"/>
      <c r="AU156" s="182"/>
      <c r="AV156" s="182"/>
      <c r="AW156" s="182"/>
      <c r="AX156" s="182"/>
      <c r="AY156" s="182"/>
      <c r="AZ156" s="182"/>
      <c r="BA156" s="182"/>
      <c r="BB156" s="182"/>
      <c r="BC156" s="182"/>
      <c r="BD156" s="182"/>
      <c r="BE156" s="182"/>
      <c r="BF156" s="182"/>
    </row>
    <row r="157" spans="1:58" ht="15.75" customHeight="1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82"/>
      <c r="AM157" s="182"/>
      <c r="AN157" s="182"/>
      <c r="AO157" s="182"/>
      <c r="AP157" s="182"/>
      <c r="AQ157" s="182"/>
      <c r="AR157" s="182"/>
      <c r="AS157" s="182"/>
      <c r="AT157" s="182"/>
      <c r="AU157" s="182"/>
      <c r="AV157" s="182"/>
      <c r="AW157" s="182"/>
      <c r="AX157" s="182"/>
      <c r="AY157" s="182"/>
      <c r="AZ157" s="182"/>
      <c r="BA157" s="182"/>
      <c r="BB157" s="182"/>
      <c r="BC157" s="182"/>
      <c r="BD157" s="182"/>
      <c r="BE157" s="182"/>
      <c r="BF157" s="182"/>
    </row>
    <row r="158" spans="1:58" ht="15.75" customHeight="1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2"/>
      <c r="AK158" s="182"/>
      <c r="AL158" s="182"/>
      <c r="AM158" s="182"/>
      <c r="AN158" s="182"/>
      <c r="AO158" s="182"/>
      <c r="AP158" s="182"/>
      <c r="AQ158" s="182"/>
      <c r="AR158" s="182"/>
      <c r="AS158" s="182"/>
      <c r="AT158" s="182"/>
      <c r="AU158" s="182"/>
      <c r="AV158" s="182"/>
      <c r="AW158" s="182"/>
      <c r="AX158" s="182"/>
      <c r="AY158" s="182"/>
      <c r="AZ158" s="182"/>
      <c r="BA158" s="182"/>
      <c r="BB158" s="182"/>
      <c r="BC158" s="182"/>
      <c r="BD158" s="182"/>
      <c r="BE158" s="182"/>
      <c r="BF158" s="182"/>
    </row>
    <row r="159" spans="1:58" ht="15.75" customHeight="1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82"/>
      <c r="AM159" s="182"/>
      <c r="AN159" s="182"/>
      <c r="AO159" s="182"/>
      <c r="AP159" s="182"/>
      <c r="AQ159" s="182"/>
      <c r="AR159" s="182"/>
      <c r="AS159" s="182"/>
      <c r="AT159" s="182"/>
      <c r="AU159" s="182"/>
      <c r="AV159" s="182"/>
      <c r="AW159" s="182"/>
      <c r="AX159" s="182"/>
      <c r="AY159" s="182"/>
      <c r="AZ159" s="182"/>
      <c r="BA159" s="182"/>
      <c r="BB159" s="182"/>
      <c r="BC159" s="182"/>
      <c r="BD159" s="182"/>
      <c r="BE159" s="182"/>
      <c r="BF159" s="182"/>
    </row>
    <row r="160" spans="1:58" ht="15.75" customHeight="1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82"/>
      <c r="AM160" s="182"/>
      <c r="AN160" s="182"/>
      <c r="AO160" s="182"/>
      <c r="AP160" s="182"/>
      <c r="AQ160" s="182"/>
      <c r="AR160" s="182"/>
      <c r="AS160" s="182"/>
      <c r="AT160" s="182"/>
      <c r="AU160" s="182"/>
      <c r="AV160" s="182"/>
      <c r="AW160" s="182"/>
      <c r="AX160" s="182"/>
      <c r="AY160" s="182"/>
      <c r="AZ160" s="182"/>
      <c r="BA160" s="182"/>
      <c r="BB160" s="182"/>
      <c r="BC160" s="182"/>
      <c r="BD160" s="182"/>
      <c r="BE160" s="182"/>
      <c r="BF160" s="182"/>
    </row>
    <row r="161" spans="1:58" ht="15.75" customHeight="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82"/>
      <c r="AM161" s="182"/>
      <c r="AN161" s="182"/>
      <c r="AO161" s="182"/>
      <c r="AP161" s="182"/>
      <c r="AQ161" s="182"/>
      <c r="AR161" s="182"/>
      <c r="AS161" s="182"/>
      <c r="AT161" s="182"/>
      <c r="AU161" s="182"/>
      <c r="AV161" s="182"/>
      <c r="AW161" s="182"/>
      <c r="AX161" s="182"/>
      <c r="AY161" s="182"/>
      <c r="AZ161" s="182"/>
      <c r="BA161" s="182"/>
      <c r="BB161" s="182"/>
      <c r="BC161" s="182"/>
      <c r="BD161" s="182"/>
      <c r="BE161" s="182"/>
      <c r="BF161" s="182"/>
    </row>
    <row r="162" spans="1:58" ht="15.75" customHeight="1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182"/>
      <c r="AF162" s="182"/>
      <c r="AG162" s="182"/>
      <c r="AH162" s="182"/>
      <c r="AI162" s="182"/>
      <c r="AJ162" s="182"/>
      <c r="AK162" s="182"/>
      <c r="AL162" s="182"/>
      <c r="AM162" s="182"/>
      <c r="AN162" s="182"/>
      <c r="AO162" s="182"/>
      <c r="AP162" s="182"/>
      <c r="AQ162" s="182"/>
      <c r="AR162" s="182"/>
      <c r="AS162" s="182"/>
      <c r="AT162" s="182"/>
      <c r="AU162" s="182"/>
      <c r="AV162" s="182"/>
      <c r="AW162" s="182"/>
      <c r="AX162" s="182"/>
      <c r="AY162" s="182"/>
      <c r="AZ162" s="182"/>
      <c r="BA162" s="182"/>
      <c r="BB162" s="182"/>
      <c r="BC162" s="182"/>
      <c r="BD162" s="182"/>
      <c r="BE162" s="182"/>
      <c r="BF162" s="182"/>
    </row>
    <row r="163" spans="1:58" ht="15.75" customHeight="1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182"/>
      <c r="AH163" s="182"/>
      <c r="AI163" s="182"/>
      <c r="AJ163" s="182"/>
      <c r="AK163" s="182"/>
      <c r="AL163" s="182"/>
      <c r="AM163" s="182"/>
      <c r="AN163" s="182"/>
      <c r="AO163" s="182"/>
      <c r="AP163" s="182"/>
      <c r="AQ163" s="182"/>
      <c r="AR163" s="182"/>
      <c r="AS163" s="182"/>
      <c r="AT163" s="182"/>
      <c r="AU163" s="182"/>
      <c r="AV163" s="182"/>
      <c r="AW163" s="182"/>
      <c r="AX163" s="182"/>
      <c r="AY163" s="182"/>
      <c r="AZ163" s="182"/>
      <c r="BA163" s="182"/>
      <c r="BB163" s="182"/>
      <c r="BC163" s="182"/>
      <c r="BD163" s="182"/>
      <c r="BE163" s="182"/>
      <c r="BF163" s="182"/>
    </row>
    <row r="164" spans="1:58" ht="15.75" customHeight="1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/>
      <c r="AI164" s="182"/>
      <c r="AJ164" s="182"/>
      <c r="AK164" s="182"/>
      <c r="AL164" s="182"/>
      <c r="AM164" s="182"/>
      <c r="AN164" s="182"/>
      <c r="AO164" s="182"/>
      <c r="AP164" s="182"/>
      <c r="AQ164" s="182"/>
      <c r="AR164" s="182"/>
      <c r="AS164" s="182"/>
      <c r="AT164" s="182"/>
      <c r="AU164" s="182"/>
      <c r="AV164" s="182"/>
      <c r="AW164" s="182"/>
      <c r="AX164" s="182"/>
      <c r="AY164" s="182"/>
      <c r="AZ164" s="182"/>
      <c r="BA164" s="182"/>
      <c r="BB164" s="182"/>
      <c r="BC164" s="182"/>
      <c r="BD164" s="182"/>
      <c r="BE164" s="182"/>
      <c r="BF164" s="182"/>
    </row>
    <row r="165" spans="1:58" ht="15.75" customHeight="1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  <c r="AF165" s="182"/>
      <c r="AG165" s="182"/>
      <c r="AH165" s="182"/>
      <c r="AI165" s="182"/>
      <c r="AJ165" s="182"/>
      <c r="AK165" s="182"/>
      <c r="AL165" s="182"/>
      <c r="AM165" s="182"/>
      <c r="AN165" s="182"/>
      <c r="AO165" s="182"/>
      <c r="AP165" s="182"/>
      <c r="AQ165" s="182"/>
      <c r="AR165" s="182"/>
      <c r="AS165" s="182"/>
      <c r="AT165" s="182"/>
      <c r="AU165" s="182"/>
      <c r="AV165" s="182"/>
      <c r="AW165" s="182"/>
      <c r="AX165" s="182"/>
      <c r="AY165" s="182"/>
      <c r="AZ165" s="182"/>
      <c r="BA165" s="182"/>
      <c r="BB165" s="182"/>
      <c r="BC165" s="182"/>
      <c r="BD165" s="182"/>
      <c r="BE165" s="182"/>
      <c r="BF165" s="182"/>
    </row>
    <row r="166" spans="1:58" ht="15.75" customHeight="1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2"/>
      <c r="AH166" s="182"/>
      <c r="AI166" s="182"/>
      <c r="AJ166" s="182"/>
      <c r="AK166" s="182"/>
      <c r="AL166" s="182"/>
      <c r="AM166" s="182"/>
      <c r="AN166" s="182"/>
      <c r="AO166" s="182"/>
      <c r="AP166" s="182"/>
      <c r="AQ166" s="182"/>
      <c r="AR166" s="182"/>
      <c r="AS166" s="182"/>
      <c r="AT166" s="182"/>
      <c r="AU166" s="182"/>
      <c r="AV166" s="182"/>
      <c r="AW166" s="182"/>
      <c r="AX166" s="182"/>
      <c r="AY166" s="182"/>
      <c r="AZ166" s="182"/>
      <c r="BA166" s="182"/>
      <c r="BB166" s="182"/>
      <c r="BC166" s="182"/>
      <c r="BD166" s="182"/>
      <c r="BE166" s="182"/>
      <c r="BF166" s="182"/>
    </row>
    <row r="167" spans="1:58" ht="15.75" customHeight="1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  <c r="AG167" s="182"/>
      <c r="AH167" s="182"/>
      <c r="AI167" s="182"/>
      <c r="AJ167" s="182"/>
      <c r="AK167" s="182"/>
      <c r="AL167" s="182"/>
      <c r="AM167" s="182"/>
      <c r="AN167" s="182"/>
      <c r="AO167" s="182"/>
      <c r="AP167" s="182"/>
      <c r="AQ167" s="182"/>
      <c r="AR167" s="182"/>
      <c r="AS167" s="182"/>
      <c r="AT167" s="182"/>
      <c r="AU167" s="182"/>
      <c r="AV167" s="182"/>
      <c r="AW167" s="182"/>
      <c r="AX167" s="182"/>
      <c r="AY167" s="182"/>
      <c r="AZ167" s="182"/>
      <c r="BA167" s="182"/>
      <c r="BB167" s="182"/>
      <c r="BC167" s="182"/>
      <c r="BD167" s="182"/>
      <c r="BE167" s="182"/>
      <c r="BF167" s="182"/>
    </row>
    <row r="168" spans="1:58" ht="15.75" customHeight="1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2"/>
      <c r="AL168" s="182"/>
      <c r="AM168" s="182"/>
      <c r="AN168" s="182"/>
      <c r="AO168" s="182"/>
      <c r="AP168" s="182"/>
      <c r="AQ168" s="182"/>
      <c r="AR168" s="182"/>
      <c r="AS168" s="182"/>
      <c r="AT168" s="182"/>
      <c r="AU168" s="182"/>
      <c r="AV168" s="182"/>
      <c r="AW168" s="182"/>
      <c r="AX168" s="182"/>
      <c r="AY168" s="182"/>
      <c r="AZ168" s="182"/>
      <c r="BA168" s="182"/>
      <c r="BB168" s="182"/>
      <c r="BC168" s="182"/>
      <c r="BD168" s="182"/>
      <c r="BE168" s="182"/>
      <c r="BF168" s="182"/>
    </row>
    <row r="169" spans="1:58" ht="15.75" customHeight="1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/>
      <c r="AI169" s="182"/>
      <c r="AJ169" s="182"/>
      <c r="AK169" s="182"/>
      <c r="AL169" s="182"/>
      <c r="AM169" s="182"/>
      <c r="AN169" s="182"/>
      <c r="AO169" s="182"/>
      <c r="AP169" s="182"/>
      <c r="AQ169" s="182"/>
      <c r="AR169" s="182"/>
      <c r="AS169" s="182"/>
      <c r="AT169" s="182"/>
      <c r="AU169" s="182"/>
      <c r="AV169" s="182"/>
      <c r="AW169" s="182"/>
      <c r="AX169" s="182"/>
      <c r="AY169" s="182"/>
      <c r="AZ169" s="182"/>
      <c r="BA169" s="182"/>
      <c r="BB169" s="182"/>
      <c r="BC169" s="182"/>
      <c r="BD169" s="182"/>
      <c r="BE169" s="182"/>
      <c r="BF169" s="182"/>
    </row>
    <row r="170" spans="1:58" ht="15.75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/>
      <c r="AF170" s="182"/>
      <c r="AG170" s="182"/>
      <c r="AH170" s="182"/>
      <c r="AI170" s="182"/>
      <c r="AJ170" s="182"/>
      <c r="AK170" s="182"/>
      <c r="AL170" s="182"/>
      <c r="AM170" s="182"/>
      <c r="AN170" s="182"/>
      <c r="AO170" s="182"/>
      <c r="AP170" s="182"/>
      <c r="AQ170" s="182"/>
      <c r="AR170" s="182"/>
      <c r="AS170" s="182"/>
      <c r="AT170" s="182"/>
      <c r="AU170" s="182"/>
      <c r="AV170" s="182"/>
      <c r="AW170" s="182"/>
      <c r="AX170" s="182"/>
      <c r="AY170" s="182"/>
      <c r="AZ170" s="182"/>
      <c r="BA170" s="182"/>
      <c r="BB170" s="182"/>
      <c r="BC170" s="182"/>
      <c r="BD170" s="182"/>
      <c r="BE170" s="182"/>
      <c r="BF170" s="182"/>
    </row>
    <row r="171" spans="1:58" ht="15.75" customHeight="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/>
      <c r="AG171" s="182"/>
      <c r="AH171" s="182"/>
      <c r="AI171" s="182"/>
      <c r="AJ171" s="182"/>
      <c r="AK171" s="182"/>
      <c r="AL171" s="182"/>
      <c r="AM171" s="182"/>
      <c r="AN171" s="182"/>
      <c r="AO171" s="182"/>
      <c r="AP171" s="182"/>
      <c r="AQ171" s="182"/>
      <c r="AR171" s="182"/>
      <c r="AS171" s="182"/>
      <c r="AT171" s="182"/>
      <c r="AU171" s="182"/>
      <c r="AV171" s="182"/>
      <c r="AW171" s="182"/>
      <c r="AX171" s="182"/>
      <c r="AY171" s="182"/>
      <c r="AZ171" s="182"/>
      <c r="BA171" s="182"/>
      <c r="BB171" s="182"/>
      <c r="BC171" s="182"/>
      <c r="BD171" s="182"/>
      <c r="BE171" s="182"/>
      <c r="BF171" s="182"/>
    </row>
    <row r="172" spans="1:58" ht="15.75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/>
      <c r="AK172" s="182"/>
      <c r="AL172" s="182"/>
      <c r="AM172" s="182"/>
      <c r="AN172" s="182"/>
      <c r="AO172" s="182"/>
      <c r="AP172" s="182"/>
      <c r="AQ172" s="182"/>
      <c r="AR172" s="182"/>
      <c r="AS172" s="182"/>
      <c r="AT172" s="182"/>
      <c r="AU172" s="182"/>
      <c r="AV172" s="182"/>
      <c r="AW172" s="182"/>
      <c r="AX172" s="182"/>
      <c r="AY172" s="182"/>
      <c r="AZ172" s="182"/>
      <c r="BA172" s="182"/>
      <c r="BB172" s="182"/>
      <c r="BC172" s="182"/>
      <c r="BD172" s="182"/>
      <c r="BE172" s="182"/>
      <c r="BF172" s="182"/>
    </row>
    <row r="173" spans="1:58" ht="15.75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  <c r="AC173" s="182"/>
      <c r="AD173" s="182"/>
      <c r="AE173" s="182"/>
      <c r="AF173" s="182"/>
      <c r="AG173" s="182"/>
      <c r="AH173" s="182"/>
      <c r="AI173" s="182"/>
      <c r="AJ173" s="182"/>
      <c r="AK173" s="182"/>
      <c r="AL173" s="182"/>
      <c r="AM173" s="182"/>
      <c r="AN173" s="182"/>
      <c r="AO173" s="182"/>
      <c r="AP173" s="182"/>
      <c r="AQ173" s="182"/>
      <c r="AR173" s="182"/>
      <c r="AS173" s="182"/>
      <c r="AT173" s="182"/>
      <c r="AU173" s="182"/>
      <c r="AV173" s="182"/>
      <c r="AW173" s="182"/>
      <c r="AX173" s="182"/>
      <c r="AY173" s="182"/>
      <c r="AZ173" s="182"/>
      <c r="BA173" s="182"/>
      <c r="BB173" s="182"/>
      <c r="BC173" s="182"/>
      <c r="BD173" s="182"/>
      <c r="BE173" s="182"/>
      <c r="BF173" s="182"/>
    </row>
    <row r="174" spans="1:58" ht="15.75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82"/>
      <c r="AM174" s="182"/>
      <c r="AN174" s="182"/>
      <c r="AO174" s="182"/>
      <c r="AP174" s="182"/>
      <c r="AQ174" s="182"/>
      <c r="AR174" s="182"/>
      <c r="AS174" s="182"/>
      <c r="AT174" s="182"/>
      <c r="AU174" s="182"/>
      <c r="AV174" s="182"/>
      <c r="AW174" s="182"/>
      <c r="AX174" s="182"/>
      <c r="AY174" s="182"/>
      <c r="AZ174" s="182"/>
      <c r="BA174" s="182"/>
      <c r="BB174" s="182"/>
      <c r="BC174" s="182"/>
      <c r="BD174" s="182"/>
      <c r="BE174" s="182"/>
      <c r="BF174" s="182"/>
    </row>
    <row r="175" spans="1:58" ht="15.75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2"/>
      <c r="AK175" s="182"/>
      <c r="AL175" s="182"/>
      <c r="AM175" s="182"/>
      <c r="AN175" s="182"/>
      <c r="AO175" s="182"/>
      <c r="AP175" s="182"/>
      <c r="AQ175" s="182"/>
      <c r="AR175" s="182"/>
      <c r="AS175" s="182"/>
      <c r="AT175" s="182"/>
      <c r="AU175" s="182"/>
      <c r="AV175" s="182"/>
      <c r="AW175" s="182"/>
      <c r="AX175" s="182"/>
      <c r="AY175" s="182"/>
      <c r="AZ175" s="182"/>
      <c r="BA175" s="182"/>
      <c r="BB175" s="182"/>
      <c r="BC175" s="182"/>
      <c r="BD175" s="182"/>
      <c r="BE175" s="182"/>
      <c r="BF175" s="182"/>
    </row>
    <row r="176" spans="1:58" ht="15.75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2"/>
      <c r="AK176" s="182"/>
      <c r="AL176" s="182"/>
      <c r="AM176" s="182"/>
      <c r="AN176" s="182"/>
      <c r="AO176" s="182"/>
      <c r="AP176" s="182"/>
      <c r="AQ176" s="182"/>
      <c r="AR176" s="182"/>
      <c r="AS176" s="182"/>
      <c r="AT176" s="182"/>
      <c r="AU176" s="182"/>
      <c r="AV176" s="182"/>
      <c r="AW176" s="182"/>
      <c r="AX176" s="182"/>
      <c r="AY176" s="182"/>
      <c r="AZ176" s="182"/>
      <c r="BA176" s="182"/>
      <c r="BB176" s="182"/>
      <c r="BC176" s="182"/>
      <c r="BD176" s="182"/>
      <c r="BE176" s="182"/>
      <c r="BF176" s="182"/>
    </row>
    <row r="177" spans="1:58" ht="15.75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82"/>
      <c r="AM177" s="182"/>
      <c r="AN177" s="182"/>
      <c r="AO177" s="182"/>
      <c r="AP177" s="182"/>
      <c r="AQ177" s="182"/>
      <c r="AR177" s="182"/>
      <c r="AS177" s="182"/>
      <c r="AT177" s="182"/>
      <c r="AU177" s="182"/>
      <c r="AV177" s="182"/>
      <c r="AW177" s="182"/>
      <c r="AX177" s="182"/>
      <c r="AY177" s="182"/>
      <c r="AZ177" s="182"/>
      <c r="BA177" s="182"/>
      <c r="BB177" s="182"/>
      <c r="BC177" s="182"/>
      <c r="BD177" s="182"/>
      <c r="BE177" s="182"/>
      <c r="BF177" s="182"/>
    </row>
    <row r="178" spans="1:58" ht="15.75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/>
      <c r="AH178" s="182"/>
      <c r="AI178" s="182"/>
      <c r="AJ178" s="182"/>
      <c r="AK178" s="182"/>
      <c r="AL178" s="182"/>
      <c r="AM178" s="182"/>
      <c r="AN178" s="182"/>
      <c r="AO178" s="182"/>
      <c r="AP178" s="182"/>
      <c r="AQ178" s="182"/>
      <c r="AR178" s="182"/>
      <c r="AS178" s="182"/>
      <c r="AT178" s="182"/>
      <c r="AU178" s="182"/>
      <c r="AV178" s="182"/>
      <c r="AW178" s="182"/>
      <c r="AX178" s="182"/>
      <c r="AY178" s="182"/>
      <c r="AZ178" s="182"/>
      <c r="BA178" s="182"/>
      <c r="BB178" s="182"/>
      <c r="BC178" s="182"/>
      <c r="BD178" s="182"/>
      <c r="BE178" s="182"/>
      <c r="BF178" s="182"/>
    </row>
    <row r="179" spans="1:58" ht="15.75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/>
      <c r="AH179" s="182"/>
      <c r="AI179" s="182"/>
      <c r="AJ179" s="182"/>
      <c r="AK179" s="182"/>
      <c r="AL179" s="182"/>
      <c r="AM179" s="182"/>
      <c r="AN179" s="182"/>
      <c r="AO179" s="182"/>
      <c r="AP179" s="182"/>
      <c r="AQ179" s="182"/>
      <c r="AR179" s="182"/>
      <c r="AS179" s="182"/>
      <c r="AT179" s="182"/>
      <c r="AU179" s="182"/>
      <c r="AV179" s="182"/>
      <c r="AW179" s="182"/>
      <c r="AX179" s="182"/>
      <c r="AY179" s="182"/>
      <c r="AZ179" s="182"/>
      <c r="BA179" s="182"/>
      <c r="BB179" s="182"/>
      <c r="BC179" s="182"/>
      <c r="BD179" s="182"/>
      <c r="BE179" s="182"/>
      <c r="BF179" s="182"/>
    </row>
    <row r="180" spans="1:58" ht="15.75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  <c r="AG180" s="182"/>
      <c r="AH180" s="182"/>
      <c r="AI180" s="182"/>
      <c r="AJ180" s="182"/>
      <c r="AK180" s="182"/>
      <c r="AL180" s="182"/>
      <c r="AM180" s="182"/>
      <c r="AN180" s="182"/>
      <c r="AO180" s="182"/>
      <c r="AP180" s="182"/>
      <c r="AQ180" s="182"/>
      <c r="AR180" s="182"/>
      <c r="AS180" s="182"/>
      <c r="AT180" s="182"/>
      <c r="AU180" s="182"/>
      <c r="AV180" s="182"/>
      <c r="AW180" s="182"/>
      <c r="AX180" s="182"/>
      <c r="AY180" s="182"/>
      <c r="AZ180" s="182"/>
      <c r="BA180" s="182"/>
      <c r="BB180" s="182"/>
      <c r="BC180" s="182"/>
      <c r="BD180" s="182"/>
      <c r="BE180" s="182"/>
      <c r="BF180" s="182"/>
    </row>
    <row r="181" spans="1:58" ht="15.75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82"/>
      <c r="AM181" s="182"/>
      <c r="AN181" s="182"/>
      <c r="AO181" s="182"/>
      <c r="AP181" s="182"/>
      <c r="AQ181" s="182"/>
      <c r="AR181" s="182"/>
      <c r="AS181" s="182"/>
      <c r="AT181" s="182"/>
      <c r="AU181" s="182"/>
      <c r="AV181" s="182"/>
      <c r="AW181" s="182"/>
      <c r="AX181" s="182"/>
      <c r="AY181" s="182"/>
      <c r="AZ181" s="182"/>
      <c r="BA181" s="182"/>
      <c r="BB181" s="182"/>
      <c r="BC181" s="182"/>
      <c r="BD181" s="182"/>
      <c r="BE181" s="182"/>
      <c r="BF181" s="182"/>
    </row>
    <row r="182" spans="1:58" ht="15.75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2"/>
      <c r="AK182" s="182"/>
      <c r="AL182" s="182"/>
      <c r="AM182" s="182"/>
      <c r="AN182" s="182"/>
      <c r="AO182" s="182"/>
      <c r="AP182" s="182"/>
      <c r="AQ182" s="182"/>
      <c r="AR182" s="182"/>
      <c r="AS182" s="182"/>
      <c r="AT182" s="182"/>
      <c r="AU182" s="182"/>
      <c r="AV182" s="182"/>
      <c r="AW182" s="182"/>
      <c r="AX182" s="182"/>
      <c r="AY182" s="182"/>
      <c r="AZ182" s="182"/>
      <c r="BA182" s="182"/>
      <c r="BB182" s="182"/>
      <c r="BC182" s="182"/>
      <c r="BD182" s="182"/>
      <c r="BE182" s="182"/>
      <c r="BF182" s="182"/>
    </row>
    <row r="183" spans="1:58" ht="15.75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82"/>
      <c r="AM183" s="182"/>
      <c r="AN183" s="182"/>
      <c r="AO183" s="182"/>
      <c r="AP183" s="182"/>
      <c r="AQ183" s="182"/>
      <c r="AR183" s="182"/>
      <c r="AS183" s="182"/>
      <c r="AT183" s="182"/>
      <c r="AU183" s="182"/>
      <c r="AV183" s="182"/>
      <c r="AW183" s="182"/>
      <c r="AX183" s="182"/>
      <c r="AY183" s="182"/>
      <c r="AZ183" s="182"/>
      <c r="BA183" s="182"/>
      <c r="BB183" s="182"/>
      <c r="BC183" s="182"/>
      <c r="BD183" s="182"/>
      <c r="BE183" s="182"/>
      <c r="BF183" s="182"/>
    </row>
    <row r="184" spans="1:58" ht="15.7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82"/>
      <c r="AN184" s="182"/>
      <c r="AO184" s="182"/>
      <c r="AP184" s="182"/>
      <c r="AQ184" s="182"/>
      <c r="AR184" s="182"/>
      <c r="AS184" s="182"/>
      <c r="AT184" s="182"/>
      <c r="AU184" s="182"/>
      <c r="AV184" s="182"/>
      <c r="AW184" s="182"/>
      <c r="AX184" s="182"/>
      <c r="AY184" s="182"/>
      <c r="AZ184" s="182"/>
      <c r="BA184" s="182"/>
      <c r="BB184" s="182"/>
      <c r="BC184" s="182"/>
      <c r="BD184" s="182"/>
      <c r="BE184" s="182"/>
      <c r="BF184" s="182"/>
    </row>
    <row r="185" spans="1:58" ht="15.75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82"/>
      <c r="AF185" s="182"/>
      <c r="AG185" s="182"/>
      <c r="AH185" s="182"/>
      <c r="AI185" s="182"/>
      <c r="AJ185" s="182"/>
      <c r="AK185" s="182"/>
      <c r="AL185" s="182"/>
      <c r="AM185" s="182"/>
      <c r="AN185" s="182"/>
      <c r="AO185" s="182"/>
      <c r="AP185" s="182"/>
      <c r="AQ185" s="182"/>
      <c r="AR185" s="182"/>
      <c r="AS185" s="182"/>
      <c r="AT185" s="182"/>
      <c r="AU185" s="182"/>
      <c r="AV185" s="182"/>
      <c r="AW185" s="182"/>
      <c r="AX185" s="182"/>
      <c r="AY185" s="182"/>
      <c r="AZ185" s="182"/>
      <c r="BA185" s="182"/>
      <c r="BB185" s="182"/>
      <c r="BC185" s="182"/>
      <c r="BD185" s="182"/>
      <c r="BE185" s="182"/>
      <c r="BF185" s="182"/>
    </row>
    <row r="186" spans="1:58" ht="15.75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  <c r="AG186" s="182"/>
      <c r="AH186" s="182"/>
      <c r="AI186" s="182"/>
      <c r="AJ186" s="182"/>
      <c r="AK186" s="182"/>
      <c r="AL186" s="182"/>
      <c r="AM186" s="182"/>
      <c r="AN186" s="182"/>
      <c r="AO186" s="182"/>
      <c r="AP186" s="182"/>
      <c r="AQ186" s="182"/>
      <c r="AR186" s="182"/>
      <c r="AS186" s="182"/>
      <c r="AT186" s="182"/>
      <c r="AU186" s="182"/>
      <c r="AV186" s="182"/>
      <c r="AW186" s="182"/>
      <c r="AX186" s="182"/>
      <c r="AY186" s="182"/>
      <c r="AZ186" s="182"/>
      <c r="BA186" s="182"/>
      <c r="BB186" s="182"/>
      <c r="BC186" s="182"/>
      <c r="BD186" s="182"/>
      <c r="BE186" s="182"/>
      <c r="BF186" s="182"/>
    </row>
    <row r="187" spans="1:58" ht="15.75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82"/>
      <c r="AF187" s="182"/>
      <c r="AG187" s="182"/>
      <c r="AH187" s="182"/>
      <c r="AI187" s="182"/>
      <c r="AJ187" s="182"/>
      <c r="AK187" s="182"/>
      <c r="AL187" s="182"/>
      <c r="AM187" s="182"/>
      <c r="AN187" s="182"/>
      <c r="AO187" s="182"/>
      <c r="AP187" s="182"/>
      <c r="AQ187" s="182"/>
      <c r="AR187" s="182"/>
      <c r="AS187" s="182"/>
      <c r="AT187" s="182"/>
      <c r="AU187" s="182"/>
      <c r="AV187" s="182"/>
      <c r="AW187" s="182"/>
      <c r="AX187" s="182"/>
      <c r="AY187" s="182"/>
      <c r="AZ187" s="182"/>
      <c r="BA187" s="182"/>
      <c r="BB187" s="182"/>
      <c r="BC187" s="182"/>
      <c r="BD187" s="182"/>
      <c r="BE187" s="182"/>
      <c r="BF187" s="182"/>
    </row>
    <row r="188" spans="1:58" ht="15.75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82"/>
      <c r="AF188" s="182"/>
      <c r="AG188" s="182"/>
      <c r="AH188" s="182"/>
      <c r="AI188" s="182"/>
      <c r="AJ188" s="182"/>
      <c r="AK188" s="182"/>
      <c r="AL188" s="182"/>
      <c r="AM188" s="182"/>
      <c r="AN188" s="182"/>
      <c r="AO188" s="182"/>
      <c r="AP188" s="182"/>
      <c r="AQ188" s="182"/>
      <c r="AR188" s="182"/>
      <c r="AS188" s="182"/>
      <c r="AT188" s="182"/>
      <c r="AU188" s="182"/>
      <c r="AV188" s="182"/>
      <c r="AW188" s="182"/>
      <c r="AX188" s="182"/>
      <c r="AY188" s="182"/>
      <c r="AZ188" s="182"/>
      <c r="BA188" s="182"/>
      <c r="BB188" s="182"/>
      <c r="BC188" s="182"/>
      <c r="BD188" s="182"/>
      <c r="BE188" s="182"/>
      <c r="BF188" s="182"/>
    </row>
    <row r="189" spans="1:58" ht="15.75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  <c r="AD189" s="182"/>
      <c r="AE189" s="182"/>
      <c r="AF189" s="182"/>
      <c r="AG189" s="182"/>
      <c r="AH189" s="182"/>
      <c r="AI189" s="182"/>
      <c r="AJ189" s="182"/>
      <c r="AK189" s="182"/>
      <c r="AL189" s="182"/>
      <c r="AM189" s="182"/>
      <c r="AN189" s="182"/>
      <c r="AO189" s="182"/>
      <c r="AP189" s="182"/>
      <c r="AQ189" s="182"/>
      <c r="AR189" s="182"/>
      <c r="AS189" s="182"/>
      <c r="AT189" s="182"/>
      <c r="AU189" s="182"/>
      <c r="AV189" s="182"/>
      <c r="AW189" s="182"/>
      <c r="AX189" s="182"/>
      <c r="AY189" s="182"/>
      <c r="AZ189" s="182"/>
      <c r="BA189" s="182"/>
      <c r="BB189" s="182"/>
      <c r="BC189" s="182"/>
      <c r="BD189" s="182"/>
      <c r="BE189" s="182"/>
      <c r="BF189" s="182"/>
    </row>
    <row r="190" spans="1:58" ht="15.75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  <c r="AC190" s="182"/>
      <c r="AD190" s="182"/>
      <c r="AE190" s="182"/>
      <c r="AF190" s="182"/>
      <c r="AG190" s="182"/>
      <c r="AH190" s="182"/>
      <c r="AI190" s="182"/>
      <c r="AJ190" s="182"/>
      <c r="AK190" s="182"/>
      <c r="AL190" s="182"/>
      <c r="AM190" s="182"/>
      <c r="AN190" s="182"/>
      <c r="AO190" s="182"/>
      <c r="AP190" s="182"/>
      <c r="AQ190" s="182"/>
      <c r="AR190" s="182"/>
      <c r="AS190" s="182"/>
      <c r="AT190" s="182"/>
      <c r="AU190" s="182"/>
      <c r="AV190" s="182"/>
      <c r="AW190" s="182"/>
      <c r="AX190" s="182"/>
      <c r="AY190" s="182"/>
      <c r="AZ190" s="182"/>
      <c r="BA190" s="182"/>
      <c r="BB190" s="182"/>
      <c r="BC190" s="182"/>
      <c r="BD190" s="182"/>
      <c r="BE190" s="182"/>
      <c r="BF190" s="182"/>
    </row>
    <row r="191" spans="1:58" ht="15.75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82"/>
      <c r="AH191" s="182"/>
      <c r="AI191" s="182"/>
      <c r="AJ191" s="182"/>
      <c r="AK191" s="182"/>
      <c r="AL191" s="182"/>
      <c r="AM191" s="182"/>
      <c r="AN191" s="182"/>
      <c r="AO191" s="182"/>
      <c r="AP191" s="182"/>
      <c r="AQ191" s="182"/>
      <c r="AR191" s="182"/>
      <c r="AS191" s="182"/>
      <c r="AT191" s="182"/>
      <c r="AU191" s="182"/>
      <c r="AV191" s="182"/>
      <c r="AW191" s="182"/>
      <c r="AX191" s="182"/>
      <c r="AY191" s="182"/>
      <c r="AZ191" s="182"/>
      <c r="BA191" s="182"/>
      <c r="BB191" s="182"/>
      <c r="BC191" s="182"/>
      <c r="BD191" s="182"/>
      <c r="BE191" s="182"/>
      <c r="BF191" s="182"/>
    </row>
    <row r="192" spans="1:58" ht="15.75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  <c r="AC192" s="182"/>
      <c r="AD192" s="182"/>
      <c r="AE192" s="182"/>
      <c r="AF192" s="182"/>
      <c r="AG192" s="182"/>
      <c r="AH192" s="182"/>
      <c r="AI192" s="182"/>
      <c r="AJ192" s="182"/>
      <c r="AK192" s="182"/>
      <c r="AL192" s="182"/>
      <c r="AM192" s="182"/>
      <c r="AN192" s="182"/>
      <c r="AO192" s="182"/>
      <c r="AP192" s="182"/>
      <c r="AQ192" s="182"/>
      <c r="AR192" s="182"/>
      <c r="AS192" s="182"/>
      <c r="AT192" s="182"/>
      <c r="AU192" s="182"/>
      <c r="AV192" s="182"/>
      <c r="AW192" s="182"/>
      <c r="AX192" s="182"/>
      <c r="AY192" s="182"/>
      <c r="AZ192" s="182"/>
      <c r="BA192" s="182"/>
      <c r="BB192" s="182"/>
      <c r="BC192" s="182"/>
      <c r="BD192" s="182"/>
      <c r="BE192" s="182"/>
      <c r="BF192" s="182"/>
    </row>
    <row r="193" spans="1:58" ht="15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82"/>
      <c r="AF193" s="182"/>
      <c r="AG193" s="182"/>
      <c r="AH193" s="182"/>
      <c r="AI193" s="182"/>
      <c r="AJ193" s="182"/>
      <c r="AK193" s="182"/>
      <c r="AL193" s="182"/>
      <c r="AM193" s="182"/>
      <c r="AN193" s="182"/>
      <c r="AO193" s="182"/>
      <c r="AP193" s="182"/>
      <c r="AQ193" s="182"/>
      <c r="AR193" s="182"/>
      <c r="AS193" s="182"/>
      <c r="AT193" s="182"/>
      <c r="AU193" s="182"/>
      <c r="AV193" s="182"/>
      <c r="AW193" s="182"/>
      <c r="AX193" s="182"/>
      <c r="AY193" s="182"/>
      <c r="AZ193" s="182"/>
      <c r="BA193" s="182"/>
      <c r="BB193" s="182"/>
      <c r="BC193" s="182"/>
      <c r="BD193" s="182"/>
      <c r="BE193" s="182"/>
      <c r="BF193" s="182"/>
    </row>
    <row r="194" spans="1:58" ht="15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  <c r="AD194" s="182"/>
      <c r="AE194" s="182"/>
      <c r="AF194" s="182"/>
      <c r="AG194" s="182"/>
      <c r="AH194" s="182"/>
      <c r="AI194" s="182"/>
      <c r="AJ194" s="182"/>
      <c r="AK194" s="182"/>
      <c r="AL194" s="182"/>
      <c r="AM194" s="182"/>
      <c r="AN194" s="182"/>
      <c r="AO194" s="182"/>
      <c r="AP194" s="182"/>
      <c r="AQ194" s="182"/>
      <c r="AR194" s="182"/>
      <c r="AS194" s="182"/>
      <c r="AT194" s="182"/>
      <c r="AU194" s="182"/>
      <c r="AV194" s="182"/>
      <c r="AW194" s="182"/>
      <c r="AX194" s="182"/>
      <c r="AY194" s="182"/>
      <c r="AZ194" s="182"/>
      <c r="BA194" s="182"/>
      <c r="BB194" s="182"/>
      <c r="BC194" s="182"/>
      <c r="BD194" s="182"/>
      <c r="BE194" s="182"/>
      <c r="BF194" s="182"/>
    </row>
    <row r="195" spans="1:58" ht="15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  <c r="AC195" s="182"/>
      <c r="AD195" s="182"/>
      <c r="AE195" s="182"/>
      <c r="AF195" s="182"/>
      <c r="AG195" s="182"/>
      <c r="AH195" s="182"/>
      <c r="AI195" s="182"/>
      <c r="AJ195" s="182"/>
      <c r="AK195" s="182"/>
      <c r="AL195" s="182"/>
      <c r="AM195" s="182"/>
      <c r="AN195" s="182"/>
      <c r="AO195" s="182"/>
      <c r="AP195" s="182"/>
      <c r="AQ195" s="182"/>
      <c r="AR195" s="182"/>
      <c r="AS195" s="182"/>
      <c r="AT195" s="182"/>
      <c r="AU195" s="182"/>
      <c r="AV195" s="182"/>
      <c r="AW195" s="182"/>
      <c r="AX195" s="182"/>
      <c r="AY195" s="182"/>
      <c r="AZ195" s="182"/>
      <c r="BA195" s="182"/>
      <c r="BB195" s="182"/>
      <c r="BC195" s="182"/>
      <c r="BD195" s="182"/>
      <c r="BE195" s="182"/>
      <c r="BF195" s="182"/>
    </row>
    <row r="196" spans="1:58" ht="15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  <c r="AD196" s="182"/>
      <c r="AE196" s="182"/>
      <c r="AF196" s="182"/>
      <c r="AG196" s="182"/>
      <c r="AH196" s="182"/>
      <c r="AI196" s="182"/>
      <c r="AJ196" s="182"/>
      <c r="AK196" s="182"/>
      <c r="AL196" s="182"/>
      <c r="AM196" s="182"/>
      <c r="AN196" s="182"/>
      <c r="AO196" s="182"/>
      <c r="AP196" s="182"/>
      <c r="AQ196" s="182"/>
      <c r="AR196" s="182"/>
      <c r="AS196" s="182"/>
      <c r="AT196" s="182"/>
      <c r="AU196" s="182"/>
      <c r="AV196" s="182"/>
      <c r="AW196" s="182"/>
      <c r="AX196" s="182"/>
      <c r="AY196" s="182"/>
      <c r="AZ196" s="182"/>
      <c r="BA196" s="182"/>
      <c r="BB196" s="182"/>
      <c r="BC196" s="182"/>
      <c r="BD196" s="182"/>
      <c r="BE196" s="182"/>
      <c r="BF196" s="182"/>
    </row>
    <row r="197" spans="1:58" ht="15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82"/>
      <c r="AF197" s="182"/>
      <c r="AG197" s="182"/>
      <c r="AH197" s="182"/>
      <c r="AI197" s="182"/>
      <c r="AJ197" s="182"/>
      <c r="AK197" s="182"/>
      <c r="AL197" s="182"/>
      <c r="AM197" s="182"/>
      <c r="AN197" s="182"/>
      <c r="AO197" s="182"/>
      <c r="AP197" s="182"/>
      <c r="AQ197" s="182"/>
      <c r="AR197" s="182"/>
      <c r="AS197" s="182"/>
      <c r="AT197" s="182"/>
      <c r="AU197" s="182"/>
      <c r="AV197" s="182"/>
      <c r="AW197" s="182"/>
      <c r="AX197" s="182"/>
      <c r="AY197" s="182"/>
      <c r="AZ197" s="182"/>
      <c r="BA197" s="182"/>
      <c r="BB197" s="182"/>
      <c r="BC197" s="182"/>
      <c r="BD197" s="182"/>
      <c r="BE197" s="182"/>
      <c r="BF197" s="182"/>
    </row>
    <row r="198" spans="1:58" ht="15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82"/>
      <c r="AF198" s="182"/>
      <c r="AG198" s="182"/>
      <c r="AH198" s="182"/>
      <c r="AI198" s="182"/>
      <c r="AJ198" s="182"/>
      <c r="AK198" s="182"/>
      <c r="AL198" s="182"/>
      <c r="AM198" s="182"/>
      <c r="AN198" s="182"/>
      <c r="AO198" s="182"/>
      <c r="AP198" s="182"/>
      <c r="AQ198" s="182"/>
      <c r="AR198" s="182"/>
      <c r="AS198" s="182"/>
      <c r="AT198" s="182"/>
      <c r="AU198" s="182"/>
      <c r="AV198" s="182"/>
      <c r="AW198" s="182"/>
      <c r="AX198" s="182"/>
      <c r="AY198" s="182"/>
      <c r="AZ198" s="182"/>
      <c r="BA198" s="182"/>
      <c r="BB198" s="182"/>
      <c r="BC198" s="182"/>
      <c r="BD198" s="182"/>
      <c r="BE198" s="182"/>
      <c r="BF198" s="182"/>
    </row>
    <row r="199" spans="1:58" ht="15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  <c r="AG199" s="182"/>
      <c r="AH199" s="182"/>
      <c r="AI199" s="182"/>
      <c r="AJ199" s="182"/>
      <c r="AK199" s="182"/>
      <c r="AL199" s="182"/>
      <c r="AM199" s="182"/>
      <c r="AN199" s="182"/>
      <c r="AO199" s="182"/>
      <c r="AP199" s="182"/>
      <c r="AQ199" s="182"/>
      <c r="AR199" s="182"/>
      <c r="AS199" s="182"/>
      <c r="AT199" s="182"/>
      <c r="AU199" s="182"/>
      <c r="AV199" s="182"/>
      <c r="AW199" s="182"/>
      <c r="AX199" s="182"/>
      <c r="AY199" s="182"/>
      <c r="AZ199" s="182"/>
      <c r="BA199" s="182"/>
      <c r="BB199" s="182"/>
      <c r="BC199" s="182"/>
      <c r="BD199" s="182"/>
      <c r="BE199" s="182"/>
      <c r="BF199" s="182"/>
    </row>
    <row r="200" spans="1:58" ht="15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  <c r="AG200" s="182"/>
      <c r="AH200" s="182"/>
      <c r="AI200" s="182"/>
      <c r="AJ200" s="182"/>
      <c r="AK200" s="182"/>
      <c r="AL200" s="182"/>
      <c r="AM200" s="182"/>
      <c r="AN200" s="182"/>
      <c r="AO200" s="182"/>
      <c r="AP200" s="182"/>
      <c r="AQ200" s="182"/>
      <c r="AR200" s="182"/>
      <c r="AS200" s="182"/>
      <c r="AT200" s="182"/>
      <c r="AU200" s="182"/>
      <c r="AV200" s="182"/>
      <c r="AW200" s="182"/>
      <c r="AX200" s="182"/>
      <c r="AY200" s="182"/>
      <c r="AZ200" s="182"/>
      <c r="BA200" s="182"/>
      <c r="BB200" s="182"/>
      <c r="BC200" s="182"/>
      <c r="BD200" s="182"/>
      <c r="BE200" s="182"/>
      <c r="BF200" s="182"/>
    </row>
    <row r="201" spans="1:58" ht="15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  <c r="AC201" s="182"/>
      <c r="AD201" s="182"/>
      <c r="AE201" s="182"/>
      <c r="AF201" s="182"/>
      <c r="AG201" s="182"/>
      <c r="AH201" s="182"/>
      <c r="AI201" s="182"/>
      <c r="AJ201" s="182"/>
      <c r="AK201" s="182"/>
      <c r="AL201" s="182"/>
      <c r="AM201" s="182"/>
      <c r="AN201" s="182"/>
      <c r="AO201" s="182"/>
      <c r="AP201" s="182"/>
      <c r="AQ201" s="182"/>
      <c r="AR201" s="182"/>
      <c r="AS201" s="182"/>
      <c r="AT201" s="182"/>
      <c r="AU201" s="182"/>
      <c r="AV201" s="182"/>
      <c r="AW201" s="182"/>
      <c r="AX201" s="182"/>
      <c r="AY201" s="182"/>
      <c r="AZ201" s="182"/>
      <c r="BA201" s="182"/>
      <c r="BB201" s="182"/>
      <c r="BC201" s="182"/>
      <c r="BD201" s="182"/>
      <c r="BE201" s="182"/>
      <c r="BF201" s="182"/>
    </row>
    <row r="202" spans="1:58" ht="15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  <c r="AG202" s="182"/>
      <c r="AH202" s="182"/>
      <c r="AI202" s="182"/>
      <c r="AJ202" s="182"/>
      <c r="AK202" s="182"/>
      <c r="AL202" s="182"/>
      <c r="AM202" s="182"/>
      <c r="AN202" s="182"/>
      <c r="AO202" s="182"/>
      <c r="AP202" s="182"/>
      <c r="AQ202" s="182"/>
      <c r="AR202" s="182"/>
      <c r="AS202" s="182"/>
      <c r="AT202" s="182"/>
      <c r="AU202" s="182"/>
      <c r="AV202" s="182"/>
      <c r="AW202" s="182"/>
      <c r="AX202" s="182"/>
      <c r="AY202" s="182"/>
      <c r="AZ202" s="182"/>
      <c r="BA202" s="182"/>
      <c r="BB202" s="182"/>
      <c r="BC202" s="182"/>
      <c r="BD202" s="182"/>
      <c r="BE202" s="182"/>
      <c r="BF202" s="182"/>
    </row>
    <row r="203" spans="1:58" ht="15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  <c r="AC203" s="182"/>
      <c r="AD203" s="182"/>
      <c r="AE203" s="182"/>
      <c r="AF203" s="182"/>
      <c r="AG203" s="182"/>
      <c r="AH203" s="182"/>
      <c r="AI203" s="182"/>
      <c r="AJ203" s="182"/>
      <c r="AK203" s="182"/>
      <c r="AL203" s="182"/>
      <c r="AM203" s="182"/>
      <c r="AN203" s="182"/>
      <c r="AO203" s="182"/>
      <c r="AP203" s="182"/>
      <c r="AQ203" s="182"/>
      <c r="AR203" s="182"/>
      <c r="AS203" s="182"/>
      <c r="AT203" s="182"/>
      <c r="AU203" s="182"/>
      <c r="AV203" s="182"/>
      <c r="AW203" s="182"/>
      <c r="AX203" s="182"/>
      <c r="AY203" s="182"/>
      <c r="AZ203" s="182"/>
      <c r="BA203" s="182"/>
      <c r="BB203" s="182"/>
      <c r="BC203" s="182"/>
      <c r="BD203" s="182"/>
      <c r="BE203" s="182"/>
      <c r="BF203" s="182"/>
    </row>
    <row r="204" spans="1:58" ht="15.75" customHeight="1"/>
    <row r="205" spans="1:58" ht="15.75" customHeight="1"/>
    <row r="206" spans="1:58" ht="15.75" customHeight="1"/>
    <row r="207" spans="1:58" ht="15.75" customHeight="1"/>
    <row r="208" spans="1:5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</sheetData>
  <customSheetViews>
    <customSheetView guid="{235856BE-74DB-4E3F-8B4F-7A0562678546}" filter="1" showAutoFilter="1">
      <pageMargins left="0.7" right="0.7" top="0.75" bottom="0.75" header="0.3" footer="0.3"/>
      <autoFilter ref="A3:BD118">
        <filterColumn colId="0">
          <filters>
            <filter val="RAJASTHAN"/>
          </filters>
        </filterColumn>
        <filterColumn colId="2">
          <filters>
            <filter val="Enrolment 5-14"/>
          </filters>
        </filterColumn>
      </autoFilter>
      <extLst>
        <ext uri="GoogleSheetsCustomDataVersion1">
          <go:sheetsCustomData xmlns:go="http://customooxmlschemas.google.com/" filterViewId="799539635"/>
        </ext>
      </extLst>
    </customSheetView>
  </customSheetViews>
  <mergeCells count="5">
    <mergeCell ref="I1:P1"/>
    <mergeCell ref="Q1:X1"/>
    <mergeCell ref="Y1:AF1"/>
    <mergeCell ref="AG1:AN1"/>
    <mergeCell ref="D1:H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4.42578125" defaultRowHeight="15" customHeight="1"/>
  <cols>
    <col min="1" max="1" width="8.7109375" customWidth="1"/>
    <col min="2" max="2" width="13.7109375" customWidth="1"/>
    <col min="3" max="3" width="27" customWidth="1"/>
    <col min="4" max="4" width="16.7109375" customWidth="1"/>
    <col min="5" max="10" width="8.7109375" customWidth="1"/>
    <col min="11" max="11" width="17.28515625" customWidth="1"/>
    <col min="12" max="12" width="13.7109375" customWidth="1"/>
    <col min="13" max="13" width="16.28515625" customWidth="1"/>
    <col min="14" max="14" width="27.140625" customWidth="1"/>
    <col min="15" max="15" width="26.28515625" customWidth="1"/>
    <col min="16" max="16" width="23" customWidth="1"/>
    <col min="17" max="17" width="26.7109375" customWidth="1"/>
    <col min="18" max="18" width="14.5703125" customWidth="1"/>
    <col min="19" max="19" width="11.28515625" customWidth="1"/>
    <col min="20" max="26" width="8.7109375" customWidth="1"/>
  </cols>
  <sheetData>
    <row r="1" spans="1:25">
      <c r="A1" s="183" t="s">
        <v>117</v>
      </c>
      <c r="B1" s="183" t="s">
        <v>31</v>
      </c>
      <c r="C1" s="183" t="s">
        <v>118</v>
      </c>
      <c r="D1" s="198" t="s">
        <v>137</v>
      </c>
      <c r="E1" s="199" t="s">
        <v>100</v>
      </c>
      <c r="K1" s="213"/>
      <c r="L1" s="214" t="s">
        <v>118</v>
      </c>
      <c r="M1" s="215" t="s">
        <v>183</v>
      </c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7"/>
    </row>
    <row r="2" spans="1:25">
      <c r="A2" s="182" t="s">
        <v>120</v>
      </c>
      <c r="B2" s="182" t="s">
        <v>51</v>
      </c>
      <c r="C2" s="182" t="s">
        <v>121</v>
      </c>
      <c r="D2" s="182">
        <v>156</v>
      </c>
      <c r="E2" s="182">
        <v>2173</v>
      </c>
      <c r="K2" s="218"/>
      <c r="L2" s="213" t="s">
        <v>28</v>
      </c>
      <c r="M2" s="216"/>
      <c r="N2" s="213" t="s">
        <v>29</v>
      </c>
      <c r="O2" s="216"/>
      <c r="P2" s="213" t="s">
        <v>122</v>
      </c>
      <c r="Q2" s="216"/>
      <c r="R2" s="213" t="s">
        <v>16</v>
      </c>
      <c r="S2" s="216"/>
      <c r="T2" s="213" t="s">
        <v>17</v>
      </c>
      <c r="U2" s="216"/>
      <c r="V2" s="213" t="s">
        <v>121</v>
      </c>
      <c r="W2" s="216"/>
      <c r="X2" s="213" t="s">
        <v>184</v>
      </c>
      <c r="Y2" s="219" t="s">
        <v>185</v>
      </c>
    </row>
    <row r="3" spans="1:25">
      <c r="A3" s="182" t="s">
        <v>120</v>
      </c>
      <c r="B3" s="182" t="s">
        <v>51</v>
      </c>
      <c r="C3" s="182" t="s">
        <v>28</v>
      </c>
      <c r="D3" s="182">
        <v>803</v>
      </c>
      <c r="E3" s="182">
        <v>2730</v>
      </c>
      <c r="K3" s="214" t="s">
        <v>117</v>
      </c>
      <c r="L3" s="213" t="s">
        <v>139</v>
      </c>
      <c r="M3" s="220" t="s">
        <v>140</v>
      </c>
      <c r="N3" s="213" t="s">
        <v>139</v>
      </c>
      <c r="O3" s="220" t="s">
        <v>140</v>
      </c>
      <c r="P3" s="213" t="s">
        <v>139</v>
      </c>
      <c r="Q3" s="220" t="s">
        <v>140</v>
      </c>
      <c r="R3" s="213" t="s">
        <v>139</v>
      </c>
      <c r="S3" s="220" t="s">
        <v>140</v>
      </c>
      <c r="T3" s="213" t="s">
        <v>139</v>
      </c>
      <c r="U3" s="220" t="s">
        <v>140</v>
      </c>
      <c r="V3" s="213" t="s">
        <v>139</v>
      </c>
      <c r="W3" s="220" t="s">
        <v>140</v>
      </c>
      <c r="X3" s="218"/>
      <c r="Y3" s="221"/>
    </row>
    <row r="4" spans="1:25">
      <c r="A4" s="182" t="s">
        <v>120</v>
      </c>
      <c r="B4" s="182" t="s">
        <v>51</v>
      </c>
      <c r="C4" s="182" t="s">
        <v>16</v>
      </c>
      <c r="D4" s="182">
        <v>64</v>
      </c>
      <c r="E4" s="182">
        <v>346</v>
      </c>
      <c r="K4" s="213" t="s">
        <v>124</v>
      </c>
      <c r="L4" s="222">
        <v>7212</v>
      </c>
      <c r="M4" s="223">
        <v>10262</v>
      </c>
      <c r="N4" s="222"/>
      <c r="O4" s="223"/>
      <c r="P4" s="222">
        <v>0</v>
      </c>
      <c r="Q4" s="223">
        <v>38519</v>
      </c>
      <c r="R4" s="222">
        <v>1170</v>
      </c>
      <c r="S4" s="223">
        <v>12039</v>
      </c>
      <c r="T4" s="222">
        <v>12318</v>
      </c>
      <c r="U4" s="223">
        <v>70355</v>
      </c>
      <c r="V4" s="222">
        <v>8929</v>
      </c>
      <c r="W4" s="223">
        <v>68620</v>
      </c>
      <c r="X4" s="222">
        <v>29629</v>
      </c>
      <c r="Y4" s="224">
        <v>199795</v>
      </c>
    </row>
    <row r="5" spans="1:25">
      <c r="A5" s="182" t="s">
        <v>120</v>
      </c>
      <c r="B5" s="182" t="s">
        <v>51</v>
      </c>
      <c r="C5" s="182" t="s">
        <v>17</v>
      </c>
      <c r="D5" s="182">
        <v>0</v>
      </c>
      <c r="E5" s="182">
        <v>2249</v>
      </c>
      <c r="K5" s="225" t="s">
        <v>120</v>
      </c>
      <c r="L5" s="226">
        <v>6219</v>
      </c>
      <c r="M5" s="212">
        <v>22468</v>
      </c>
      <c r="N5" s="226">
        <v>1207</v>
      </c>
      <c r="O5" s="212">
        <v>5880</v>
      </c>
      <c r="P5" s="226">
        <v>0</v>
      </c>
      <c r="Q5" s="212">
        <v>21089</v>
      </c>
      <c r="R5" s="226">
        <v>672</v>
      </c>
      <c r="S5" s="212">
        <v>9137</v>
      </c>
      <c r="T5" s="226">
        <v>8667</v>
      </c>
      <c r="U5" s="212">
        <v>49137</v>
      </c>
      <c r="V5" s="226">
        <v>4933</v>
      </c>
      <c r="W5" s="212">
        <v>34781</v>
      </c>
      <c r="X5" s="226">
        <v>21698</v>
      </c>
      <c r="Y5" s="227">
        <v>142492</v>
      </c>
    </row>
    <row r="6" spans="1:25">
      <c r="A6" s="182" t="s">
        <v>120</v>
      </c>
      <c r="B6" s="182" t="s">
        <v>51</v>
      </c>
      <c r="C6" s="182" t="s">
        <v>122</v>
      </c>
      <c r="D6" s="182">
        <v>0</v>
      </c>
      <c r="E6" s="182">
        <v>2280</v>
      </c>
      <c r="K6" s="225" t="s">
        <v>131</v>
      </c>
      <c r="L6" s="226">
        <v>1846</v>
      </c>
      <c r="M6" s="212">
        <v>3432</v>
      </c>
      <c r="N6" s="226"/>
      <c r="O6" s="212"/>
      <c r="P6" s="226">
        <v>0</v>
      </c>
      <c r="Q6" s="212">
        <v>10560</v>
      </c>
      <c r="R6" s="226">
        <v>610</v>
      </c>
      <c r="S6" s="212">
        <v>2540</v>
      </c>
      <c r="T6" s="226">
        <v>1453</v>
      </c>
      <c r="U6" s="212">
        <v>9013</v>
      </c>
      <c r="V6" s="226">
        <v>976</v>
      </c>
      <c r="W6" s="212">
        <v>16914</v>
      </c>
      <c r="X6" s="226">
        <v>4885</v>
      </c>
      <c r="Y6" s="227">
        <v>42459</v>
      </c>
    </row>
    <row r="7" spans="1:25">
      <c r="A7" s="182" t="s">
        <v>120</v>
      </c>
      <c r="B7" s="182" t="s">
        <v>51</v>
      </c>
      <c r="C7" s="182" t="s">
        <v>29</v>
      </c>
      <c r="D7" s="182">
        <v>100</v>
      </c>
      <c r="E7" s="182">
        <v>400</v>
      </c>
      <c r="K7" s="225" t="s">
        <v>132</v>
      </c>
      <c r="L7" s="226">
        <v>2174</v>
      </c>
      <c r="M7" s="212">
        <v>11556</v>
      </c>
      <c r="N7" s="226"/>
      <c r="O7" s="212"/>
      <c r="P7" s="226">
        <v>0</v>
      </c>
      <c r="Q7" s="212">
        <v>41069</v>
      </c>
      <c r="R7" s="226">
        <v>1634</v>
      </c>
      <c r="S7" s="212">
        <v>7572</v>
      </c>
      <c r="T7" s="226">
        <v>7000</v>
      </c>
      <c r="U7" s="212">
        <v>35000</v>
      </c>
      <c r="V7" s="226">
        <v>4226</v>
      </c>
      <c r="W7" s="212">
        <v>59141</v>
      </c>
      <c r="X7" s="226">
        <v>15034</v>
      </c>
      <c r="Y7" s="227">
        <v>154338</v>
      </c>
    </row>
    <row r="8" spans="1:25">
      <c r="A8" s="182" t="s">
        <v>120</v>
      </c>
      <c r="B8" s="182" t="s">
        <v>54</v>
      </c>
      <c r="C8" s="182" t="s">
        <v>121</v>
      </c>
      <c r="D8" s="182">
        <v>556</v>
      </c>
      <c r="E8" s="182">
        <v>5094</v>
      </c>
      <c r="K8" s="228" t="s">
        <v>138</v>
      </c>
      <c r="L8" s="229">
        <v>17451</v>
      </c>
      <c r="M8" s="230">
        <v>47718</v>
      </c>
      <c r="N8" s="229">
        <v>1207</v>
      </c>
      <c r="O8" s="230">
        <v>5880</v>
      </c>
      <c r="P8" s="229">
        <v>0</v>
      </c>
      <c r="Q8" s="230">
        <v>111237</v>
      </c>
      <c r="R8" s="229">
        <v>4086</v>
      </c>
      <c r="S8" s="230">
        <v>31288</v>
      </c>
      <c r="T8" s="229">
        <v>29438</v>
      </c>
      <c r="U8" s="230">
        <v>163505</v>
      </c>
      <c r="V8" s="229">
        <v>19064</v>
      </c>
      <c r="W8" s="230">
        <v>179456</v>
      </c>
      <c r="X8" s="229">
        <v>71246</v>
      </c>
      <c r="Y8" s="231">
        <v>539084</v>
      </c>
    </row>
    <row r="9" spans="1:25">
      <c r="A9" s="182" t="s">
        <v>120</v>
      </c>
      <c r="B9" s="182" t="s">
        <v>54</v>
      </c>
      <c r="C9" s="182" t="s">
        <v>28</v>
      </c>
      <c r="D9" s="182">
        <v>688</v>
      </c>
      <c r="E9" s="182">
        <v>2294</v>
      </c>
      <c r="K9" s="200"/>
      <c r="M9" s="1"/>
      <c r="N9" s="1"/>
      <c r="O9" s="1"/>
      <c r="P9" s="1"/>
      <c r="Q9" s="1"/>
      <c r="R9" s="1"/>
      <c r="S9" s="1"/>
    </row>
    <row r="10" spans="1:25">
      <c r="A10" s="182" t="s">
        <v>120</v>
      </c>
      <c r="B10" s="182" t="s">
        <v>54</v>
      </c>
      <c r="C10" s="182" t="s">
        <v>16</v>
      </c>
      <c r="D10" s="182">
        <v>62</v>
      </c>
      <c r="E10" s="182">
        <v>2824</v>
      </c>
      <c r="K10" s="200"/>
      <c r="L10" s="200"/>
      <c r="M10" s="1"/>
      <c r="N10" s="1"/>
      <c r="O10" s="1"/>
      <c r="P10" s="1"/>
      <c r="Q10" s="1"/>
      <c r="R10" s="1"/>
      <c r="S10" s="1"/>
    </row>
    <row r="11" spans="1:25">
      <c r="A11" s="182" t="s">
        <v>120</v>
      </c>
      <c r="B11" s="182" t="s">
        <v>54</v>
      </c>
      <c r="C11" s="182" t="s">
        <v>17</v>
      </c>
      <c r="D11" s="182">
        <v>2234</v>
      </c>
      <c r="E11" s="182">
        <v>8282</v>
      </c>
      <c r="L11" s="200"/>
      <c r="M11" s="1"/>
      <c r="N11" s="1"/>
      <c r="O11" s="1"/>
      <c r="P11" s="1"/>
      <c r="Q11" s="1"/>
      <c r="R11" s="1"/>
      <c r="S11" s="1"/>
    </row>
    <row r="12" spans="1:25">
      <c r="A12" s="182" t="s">
        <v>120</v>
      </c>
      <c r="B12" s="182" t="s">
        <v>54</v>
      </c>
      <c r="C12" s="182" t="s">
        <v>122</v>
      </c>
      <c r="D12" s="182">
        <v>0</v>
      </c>
      <c r="E12" s="182">
        <v>4969</v>
      </c>
      <c r="L12" s="200"/>
      <c r="M12" s="1"/>
      <c r="N12" s="1"/>
      <c r="O12" s="1"/>
      <c r="P12" s="1"/>
      <c r="Q12" s="1"/>
      <c r="R12" s="1"/>
      <c r="S12" s="1"/>
    </row>
    <row r="13" spans="1:25">
      <c r="A13" s="182" t="s">
        <v>120</v>
      </c>
      <c r="B13" s="182" t="s">
        <v>54</v>
      </c>
      <c r="C13" s="182" t="s">
        <v>29</v>
      </c>
      <c r="D13" s="182"/>
      <c r="E13" s="182">
        <v>60</v>
      </c>
      <c r="L13" s="200"/>
      <c r="M13" s="1"/>
      <c r="N13" s="1"/>
      <c r="O13" s="1"/>
      <c r="P13" s="1"/>
      <c r="Q13" s="1"/>
      <c r="R13" s="1"/>
      <c r="S13" s="1"/>
    </row>
    <row r="14" spans="1:25">
      <c r="A14" s="182" t="s">
        <v>120</v>
      </c>
      <c r="B14" s="182" t="s">
        <v>56</v>
      </c>
      <c r="C14" s="182" t="s">
        <v>121</v>
      </c>
      <c r="D14" s="182">
        <v>186</v>
      </c>
      <c r="E14" s="182">
        <v>921</v>
      </c>
      <c r="L14" s="200"/>
      <c r="M14" s="1"/>
      <c r="N14" s="1"/>
      <c r="O14" s="1"/>
      <c r="P14" s="1"/>
      <c r="Q14" s="1"/>
      <c r="R14" s="1"/>
      <c r="S14" s="1"/>
    </row>
    <row r="15" spans="1:25">
      <c r="A15" s="182" t="s">
        <v>120</v>
      </c>
      <c r="B15" s="182" t="s">
        <v>56</v>
      </c>
      <c r="C15" s="182" t="s">
        <v>28</v>
      </c>
      <c r="D15" s="182">
        <v>0</v>
      </c>
      <c r="E15" s="182">
        <v>1456</v>
      </c>
      <c r="L15" s="200"/>
      <c r="M15" s="1"/>
      <c r="N15" s="1"/>
      <c r="O15" s="1"/>
      <c r="P15" s="1"/>
      <c r="Q15" s="1"/>
      <c r="R15" s="1"/>
      <c r="S15" s="1"/>
    </row>
    <row r="16" spans="1:25">
      <c r="A16" s="182" t="s">
        <v>120</v>
      </c>
      <c r="B16" s="182" t="s">
        <v>56</v>
      </c>
      <c r="C16" s="182" t="s">
        <v>16</v>
      </c>
      <c r="D16" s="182">
        <v>78</v>
      </c>
      <c r="E16" s="182">
        <v>234</v>
      </c>
      <c r="L16" s="200"/>
      <c r="M16" s="1"/>
      <c r="N16" s="1"/>
      <c r="O16" s="1"/>
      <c r="P16" s="1"/>
      <c r="Q16" s="1"/>
      <c r="R16" s="1"/>
      <c r="S16" s="1"/>
    </row>
    <row r="17" spans="1:19">
      <c r="A17" s="182" t="s">
        <v>120</v>
      </c>
      <c r="B17" s="182" t="s">
        <v>56</v>
      </c>
      <c r="C17" s="182" t="s">
        <v>17</v>
      </c>
      <c r="D17" s="182">
        <v>0</v>
      </c>
      <c r="E17" s="182">
        <v>402</v>
      </c>
      <c r="L17" s="200"/>
      <c r="M17" s="1"/>
      <c r="N17" s="1"/>
      <c r="O17" s="1"/>
      <c r="P17" s="1"/>
      <c r="Q17" s="1"/>
      <c r="R17" s="1"/>
      <c r="S17" s="1"/>
    </row>
    <row r="18" spans="1:19">
      <c r="A18" s="182" t="s">
        <v>120</v>
      </c>
      <c r="B18" s="182" t="s">
        <v>56</v>
      </c>
      <c r="C18" s="182" t="s">
        <v>122</v>
      </c>
      <c r="D18" s="182">
        <v>0</v>
      </c>
      <c r="E18" s="182">
        <v>0</v>
      </c>
      <c r="L18" s="200"/>
      <c r="M18" s="1"/>
      <c r="N18" s="1"/>
      <c r="O18" s="1"/>
      <c r="P18" s="1"/>
      <c r="Q18" s="1"/>
      <c r="R18" s="1"/>
      <c r="S18" s="1"/>
    </row>
    <row r="19" spans="1:19">
      <c r="A19" s="182" t="s">
        <v>120</v>
      </c>
      <c r="B19" s="182" t="s">
        <v>56</v>
      </c>
      <c r="C19" s="182" t="s">
        <v>29</v>
      </c>
      <c r="D19" s="182"/>
      <c r="E19" s="182">
        <v>0</v>
      </c>
      <c r="L19" s="200"/>
      <c r="M19" s="1"/>
      <c r="N19" s="1"/>
      <c r="O19" s="1"/>
      <c r="P19" s="1"/>
      <c r="Q19" s="1"/>
      <c r="R19" s="1"/>
      <c r="S19" s="1"/>
    </row>
    <row r="20" spans="1:19">
      <c r="A20" s="182" t="s">
        <v>120</v>
      </c>
      <c r="B20" s="182" t="s">
        <v>58</v>
      </c>
      <c r="C20" s="182" t="s">
        <v>121</v>
      </c>
      <c r="D20" s="182">
        <v>402</v>
      </c>
      <c r="E20" s="182">
        <v>1851</v>
      </c>
      <c r="K20" s="200"/>
      <c r="M20" s="1"/>
      <c r="N20" s="1"/>
      <c r="O20" s="1"/>
      <c r="P20" s="1"/>
      <c r="Q20" s="1"/>
      <c r="R20" s="1"/>
      <c r="S20" s="1"/>
    </row>
    <row r="21" spans="1:19" ht="15.75" customHeight="1">
      <c r="A21" s="182" t="s">
        <v>120</v>
      </c>
      <c r="B21" s="182" t="s">
        <v>58</v>
      </c>
      <c r="C21" s="182" t="s">
        <v>28</v>
      </c>
      <c r="D21" s="182">
        <v>678</v>
      </c>
      <c r="E21" s="182">
        <v>2262</v>
      </c>
      <c r="K21" s="200"/>
      <c r="L21" s="200"/>
      <c r="M21" s="1"/>
      <c r="N21" s="1"/>
      <c r="O21" s="1"/>
      <c r="P21" s="1"/>
      <c r="Q21" s="1"/>
      <c r="R21" s="1"/>
      <c r="S21" s="1"/>
    </row>
    <row r="22" spans="1:19" ht="15.75" customHeight="1">
      <c r="A22" s="182" t="s">
        <v>120</v>
      </c>
      <c r="B22" s="182" t="s">
        <v>58</v>
      </c>
      <c r="C22" s="182" t="s">
        <v>16</v>
      </c>
      <c r="D22" s="182">
        <v>50</v>
      </c>
      <c r="E22" s="182">
        <v>576</v>
      </c>
      <c r="L22" s="200"/>
      <c r="M22" s="1"/>
      <c r="N22" s="1"/>
      <c r="O22" s="1"/>
      <c r="P22" s="1"/>
      <c r="Q22" s="1"/>
      <c r="R22" s="1"/>
      <c r="S22" s="1"/>
    </row>
    <row r="23" spans="1:19" ht="15.75" customHeight="1">
      <c r="A23" s="182" t="s">
        <v>120</v>
      </c>
      <c r="B23" s="182" t="s">
        <v>58</v>
      </c>
      <c r="C23" s="182" t="s">
        <v>17</v>
      </c>
      <c r="D23" s="182">
        <v>0</v>
      </c>
      <c r="E23" s="182">
        <v>2287</v>
      </c>
      <c r="L23" s="200"/>
      <c r="M23" s="1"/>
      <c r="N23" s="1"/>
      <c r="O23" s="1"/>
      <c r="P23" s="1"/>
      <c r="Q23" s="1"/>
      <c r="R23" s="1"/>
      <c r="S23" s="1"/>
    </row>
    <row r="24" spans="1:19" ht="15.75" customHeight="1">
      <c r="A24" s="182" t="s">
        <v>120</v>
      </c>
      <c r="B24" s="182" t="s">
        <v>58</v>
      </c>
      <c r="C24" s="182" t="s">
        <v>122</v>
      </c>
      <c r="D24" s="182">
        <v>0</v>
      </c>
      <c r="E24" s="182">
        <v>920</v>
      </c>
      <c r="L24" s="200"/>
      <c r="M24" s="1"/>
      <c r="N24" s="1"/>
      <c r="O24" s="1"/>
      <c r="P24" s="1"/>
      <c r="Q24" s="1"/>
      <c r="R24" s="1"/>
      <c r="S24" s="1"/>
    </row>
    <row r="25" spans="1:19" ht="15.75" customHeight="1">
      <c r="A25" s="182" t="s">
        <v>120</v>
      </c>
      <c r="B25" s="182" t="s">
        <v>58</v>
      </c>
      <c r="C25" s="182" t="s">
        <v>29</v>
      </c>
      <c r="D25" s="182"/>
      <c r="E25" s="182">
        <v>240</v>
      </c>
      <c r="L25" s="200"/>
      <c r="M25" s="1"/>
      <c r="N25" s="1"/>
      <c r="O25" s="1"/>
      <c r="P25" s="1"/>
      <c r="Q25" s="1"/>
      <c r="R25" s="1"/>
      <c r="S25" s="1"/>
    </row>
    <row r="26" spans="1:19" ht="15.75" customHeight="1">
      <c r="A26" s="182" t="s">
        <v>120</v>
      </c>
      <c r="B26" s="182" t="s">
        <v>59</v>
      </c>
      <c r="C26" s="182" t="s">
        <v>121</v>
      </c>
      <c r="D26" s="182">
        <v>1290</v>
      </c>
      <c r="E26" s="182">
        <v>3751</v>
      </c>
      <c r="K26" s="200"/>
      <c r="M26" s="1"/>
      <c r="N26" s="1"/>
      <c r="O26" s="1"/>
      <c r="P26" s="1"/>
      <c r="Q26" s="1"/>
      <c r="R26" s="1"/>
      <c r="S26" s="1"/>
    </row>
    <row r="27" spans="1:19" ht="15.75" customHeight="1">
      <c r="A27" s="182" t="s">
        <v>120</v>
      </c>
      <c r="B27" s="182" t="s">
        <v>59</v>
      </c>
      <c r="C27" s="182" t="s">
        <v>28</v>
      </c>
      <c r="D27" s="182">
        <v>698</v>
      </c>
      <c r="E27" s="182">
        <v>2314</v>
      </c>
      <c r="K27" s="200"/>
      <c r="M27" s="1"/>
      <c r="N27" s="1"/>
      <c r="O27" s="1"/>
      <c r="P27" s="1"/>
      <c r="Q27" s="1"/>
      <c r="R27" s="1"/>
      <c r="S27" s="1"/>
    </row>
    <row r="28" spans="1:19" ht="15.75" customHeight="1">
      <c r="A28" s="182" t="s">
        <v>120</v>
      </c>
      <c r="B28" s="182" t="s">
        <v>59</v>
      </c>
      <c r="C28" s="182" t="s">
        <v>16</v>
      </c>
      <c r="D28" s="182">
        <v>42</v>
      </c>
      <c r="E28" s="182">
        <v>428</v>
      </c>
    </row>
    <row r="29" spans="1:19" ht="15.75" customHeight="1">
      <c r="A29" s="182" t="s">
        <v>120</v>
      </c>
      <c r="B29" s="182" t="s">
        <v>59</v>
      </c>
      <c r="C29" s="182" t="s">
        <v>17</v>
      </c>
      <c r="D29" s="182">
        <v>0</v>
      </c>
      <c r="E29" s="182">
        <v>2564</v>
      </c>
    </row>
    <row r="30" spans="1:19" ht="15.75" customHeight="1">
      <c r="A30" s="182" t="s">
        <v>120</v>
      </c>
      <c r="B30" s="182" t="s">
        <v>59</v>
      </c>
      <c r="C30" s="182" t="s">
        <v>122</v>
      </c>
      <c r="D30" s="182">
        <v>0</v>
      </c>
      <c r="E30" s="182">
        <v>2280</v>
      </c>
    </row>
    <row r="31" spans="1:19" ht="15.75" customHeight="1">
      <c r="A31" s="182" t="s">
        <v>120</v>
      </c>
      <c r="B31" s="182" t="s">
        <v>59</v>
      </c>
      <c r="C31" s="182" t="s">
        <v>29</v>
      </c>
      <c r="D31" s="182">
        <v>320</v>
      </c>
      <c r="E31" s="182">
        <v>1620</v>
      </c>
    </row>
    <row r="32" spans="1:19" ht="15.75" customHeight="1">
      <c r="A32" s="182" t="s">
        <v>120</v>
      </c>
      <c r="B32" s="182" t="s">
        <v>61</v>
      </c>
      <c r="C32" s="182" t="s">
        <v>121</v>
      </c>
      <c r="D32" s="182">
        <v>102</v>
      </c>
      <c r="E32" s="182">
        <v>1537</v>
      </c>
    </row>
    <row r="33" spans="1:5" ht="15.75" customHeight="1">
      <c r="A33" s="182" t="s">
        <v>120</v>
      </c>
      <c r="B33" s="182" t="s">
        <v>61</v>
      </c>
      <c r="C33" s="182" t="s">
        <v>28</v>
      </c>
      <c r="D33" s="182">
        <v>698</v>
      </c>
      <c r="E33" s="182">
        <v>2414</v>
      </c>
    </row>
    <row r="34" spans="1:5" ht="15.75" customHeight="1">
      <c r="A34" s="182" t="s">
        <v>120</v>
      </c>
      <c r="B34" s="182" t="s">
        <v>61</v>
      </c>
      <c r="C34" s="182" t="s">
        <v>16</v>
      </c>
      <c r="D34" s="182">
        <v>72</v>
      </c>
      <c r="E34" s="182">
        <v>1661</v>
      </c>
    </row>
    <row r="35" spans="1:5" ht="15.75" customHeight="1">
      <c r="A35" s="182" t="s">
        <v>120</v>
      </c>
      <c r="B35" s="182" t="s">
        <v>61</v>
      </c>
      <c r="C35" s="182" t="s">
        <v>17</v>
      </c>
      <c r="D35" s="182">
        <v>1112</v>
      </c>
      <c r="E35" s="182">
        <v>5560</v>
      </c>
    </row>
    <row r="36" spans="1:5" ht="15.75" customHeight="1">
      <c r="A36" s="182" t="s">
        <v>120</v>
      </c>
      <c r="B36" s="182" t="s">
        <v>61</v>
      </c>
      <c r="C36" s="182" t="s">
        <v>122</v>
      </c>
      <c r="D36" s="182">
        <v>0</v>
      </c>
      <c r="E36" s="182">
        <v>980</v>
      </c>
    </row>
    <row r="37" spans="1:5" ht="15.75" customHeight="1">
      <c r="A37" s="182" t="s">
        <v>120</v>
      </c>
      <c r="B37" s="182" t="s">
        <v>61</v>
      </c>
      <c r="C37" s="182" t="s">
        <v>29</v>
      </c>
      <c r="D37" s="182"/>
      <c r="E37" s="182">
        <v>80</v>
      </c>
    </row>
    <row r="38" spans="1:5" ht="15.75" customHeight="1">
      <c r="A38" s="182" t="s">
        <v>120</v>
      </c>
      <c r="B38" s="182" t="s">
        <v>62</v>
      </c>
      <c r="C38" s="182" t="s">
        <v>121</v>
      </c>
      <c r="D38" s="182">
        <v>198</v>
      </c>
      <c r="E38" s="182">
        <v>2664</v>
      </c>
    </row>
    <row r="39" spans="1:5" ht="15.75" customHeight="1">
      <c r="A39" s="182" t="s">
        <v>120</v>
      </c>
      <c r="B39" s="182" t="s">
        <v>62</v>
      </c>
      <c r="C39" s="182" t="s">
        <v>28</v>
      </c>
      <c r="D39" s="182">
        <v>698</v>
      </c>
      <c r="E39" s="182">
        <v>2324</v>
      </c>
    </row>
    <row r="40" spans="1:5" ht="15.75" customHeight="1">
      <c r="A40" s="182" t="s">
        <v>120</v>
      </c>
      <c r="B40" s="182" t="s">
        <v>62</v>
      </c>
      <c r="C40" s="182" t="s">
        <v>16</v>
      </c>
      <c r="D40" s="182">
        <v>58</v>
      </c>
      <c r="E40" s="182">
        <v>380</v>
      </c>
    </row>
    <row r="41" spans="1:5" ht="15.75" customHeight="1">
      <c r="A41" s="182" t="s">
        <v>120</v>
      </c>
      <c r="B41" s="182" t="s">
        <v>62</v>
      </c>
      <c r="C41" s="182" t="s">
        <v>17</v>
      </c>
      <c r="D41" s="182">
        <v>994</v>
      </c>
      <c r="E41" s="182">
        <v>5034</v>
      </c>
    </row>
    <row r="42" spans="1:5" ht="15.75" customHeight="1">
      <c r="A42" s="182" t="s">
        <v>120</v>
      </c>
      <c r="B42" s="182" t="s">
        <v>62</v>
      </c>
      <c r="C42" s="182" t="s">
        <v>122</v>
      </c>
      <c r="D42" s="182">
        <v>0</v>
      </c>
      <c r="E42" s="182">
        <v>2640</v>
      </c>
    </row>
    <row r="43" spans="1:5" ht="15.75" customHeight="1">
      <c r="A43" s="182" t="s">
        <v>120</v>
      </c>
      <c r="B43" s="182" t="s">
        <v>62</v>
      </c>
      <c r="C43" s="182" t="s">
        <v>29</v>
      </c>
      <c r="D43" s="182">
        <v>295</v>
      </c>
      <c r="E43" s="182">
        <v>600</v>
      </c>
    </row>
    <row r="44" spans="1:5" ht="15.75" customHeight="1">
      <c r="A44" s="182" t="s">
        <v>120</v>
      </c>
      <c r="B44" s="182" t="s">
        <v>63</v>
      </c>
      <c r="C44" s="182" t="s">
        <v>121</v>
      </c>
      <c r="D44" s="182">
        <v>686</v>
      </c>
      <c r="E44" s="182">
        <v>5989</v>
      </c>
    </row>
    <row r="45" spans="1:5" ht="15.75" customHeight="1">
      <c r="A45" s="182" t="s">
        <v>120</v>
      </c>
      <c r="B45" s="182" t="s">
        <v>63</v>
      </c>
      <c r="C45" s="182" t="s">
        <v>28</v>
      </c>
      <c r="D45" s="182">
        <v>478</v>
      </c>
      <c r="E45" s="182">
        <v>1625</v>
      </c>
    </row>
    <row r="46" spans="1:5" ht="15.75" customHeight="1">
      <c r="A46" s="182" t="s">
        <v>120</v>
      </c>
      <c r="B46" s="182" t="s">
        <v>63</v>
      </c>
      <c r="C46" s="182" t="s">
        <v>16</v>
      </c>
      <c r="D46" s="182">
        <v>77</v>
      </c>
      <c r="E46" s="182">
        <v>1271</v>
      </c>
    </row>
    <row r="47" spans="1:5" ht="15.75" customHeight="1">
      <c r="A47" s="182" t="s">
        <v>120</v>
      </c>
      <c r="B47" s="182" t="s">
        <v>63</v>
      </c>
      <c r="C47" s="182" t="s">
        <v>17</v>
      </c>
      <c r="D47" s="182">
        <v>989</v>
      </c>
      <c r="E47" s="182">
        <v>4945</v>
      </c>
    </row>
    <row r="48" spans="1:5" ht="15.75" customHeight="1">
      <c r="A48" s="182" t="s">
        <v>120</v>
      </c>
      <c r="B48" s="182" t="s">
        <v>63</v>
      </c>
      <c r="C48" s="182" t="s">
        <v>122</v>
      </c>
      <c r="D48" s="182">
        <v>0</v>
      </c>
      <c r="E48" s="182">
        <v>1520</v>
      </c>
    </row>
    <row r="49" spans="1:5" ht="15.75" customHeight="1">
      <c r="A49" s="182" t="s">
        <v>120</v>
      </c>
      <c r="B49" s="182" t="s">
        <v>63</v>
      </c>
      <c r="C49" s="182" t="s">
        <v>29</v>
      </c>
      <c r="D49" s="182"/>
      <c r="E49" s="182">
        <v>200</v>
      </c>
    </row>
    <row r="50" spans="1:5" ht="15.75" customHeight="1">
      <c r="A50" s="182" t="s">
        <v>120</v>
      </c>
      <c r="B50" s="182" t="s">
        <v>64</v>
      </c>
      <c r="C50" s="182" t="s">
        <v>121</v>
      </c>
      <c r="D50" s="182">
        <v>395</v>
      </c>
      <c r="E50" s="182">
        <v>3580</v>
      </c>
    </row>
    <row r="51" spans="1:5" ht="15.75" customHeight="1">
      <c r="A51" s="182" t="s">
        <v>120</v>
      </c>
      <c r="B51" s="182" t="s">
        <v>64</v>
      </c>
      <c r="C51" s="182" t="s">
        <v>28</v>
      </c>
      <c r="D51" s="182">
        <v>646</v>
      </c>
      <c r="E51" s="182">
        <v>2286</v>
      </c>
    </row>
    <row r="52" spans="1:5" ht="15.75" customHeight="1">
      <c r="A52" s="182" t="s">
        <v>120</v>
      </c>
      <c r="B52" s="182" t="s">
        <v>64</v>
      </c>
      <c r="C52" s="182" t="s">
        <v>16</v>
      </c>
      <c r="D52" s="182">
        <v>62</v>
      </c>
      <c r="E52" s="182">
        <v>254</v>
      </c>
    </row>
    <row r="53" spans="1:5" ht="15.75" customHeight="1">
      <c r="A53" s="182" t="s">
        <v>120</v>
      </c>
      <c r="B53" s="182" t="s">
        <v>64</v>
      </c>
      <c r="C53" s="182" t="s">
        <v>17</v>
      </c>
      <c r="D53" s="182">
        <v>731</v>
      </c>
      <c r="E53" s="182">
        <v>4779</v>
      </c>
    </row>
    <row r="54" spans="1:5" ht="15.75" customHeight="1">
      <c r="A54" s="182" t="s">
        <v>120</v>
      </c>
      <c r="B54" s="182" t="s">
        <v>64</v>
      </c>
      <c r="C54" s="182" t="s">
        <v>122</v>
      </c>
      <c r="D54" s="182">
        <v>0</v>
      </c>
      <c r="E54" s="182">
        <v>2940</v>
      </c>
    </row>
    <row r="55" spans="1:5" ht="15.75" customHeight="1">
      <c r="A55" s="182" t="s">
        <v>120</v>
      </c>
      <c r="B55" s="182" t="s">
        <v>64</v>
      </c>
      <c r="C55" s="182" t="s">
        <v>29</v>
      </c>
      <c r="D55" s="182">
        <v>412</v>
      </c>
      <c r="E55" s="182">
        <v>1980</v>
      </c>
    </row>
    <row r="56" spans="1:5" ht="15.75" customHeight="1">
      <c r="A56" s="182" t="s">
        <v>120</v>
      </c>
      <c r="B56" s="182" t="s">
        <v>65</v>
      </c>
      <c r="C56" s="182" t="s">
        <v>121</v>
      </c>
      <c r="D56" s="182">
        <v>962</v>
      </c>
      <c r="E56" s="182">
        <v>7221</v>
      </c>
    </row>
    <row r="57" spans="1:5" ht="15.75" customHeight="1">
      <c r="A57" s="182" t="s">
        <v>120</v>
      </c>
      <c r="B57" s="182" t="s">
        <v>65</v>
      </c>
      <c r="C57" s="182" t="s">
        <v>28</v>
      </c>
      <c r="D57" s="182">
        <v>832</v>
      </c>
      <c r="E57" s="182">
        <v>2763</v>
      </c>
    </row>
    <row r="58" spans="1:5" ht="15.75" customHeight="1">
      <c r="A58" s="182" t="s">
        <v>120</v>
      </c>
      <c r="B58" s="182" t="s">
        <v>65</v>
      </c>
      <c r="C58" s="182" t="s">
        <v>16</v>
      </c>
      <c r="D58" s="182">
        <v>107</v>
      </c>
      <c r="E58" s="182">
        <v>1163</v>
      </c>
    </row>
    <row r="59" spans="1:5" ht="15.75" customHeight="1">
      <c r="A59" s="182" t="s">
        <v>120</v>
      </c>
      <c r="B59" s="182" t="s">
        <v>65</v>
      </c>
      <c r="C59" s="182" t="s">
        <v>17</v>
      </c>
      <c r="D59" s="182">
        <v>2607</v>
      </c>
      <c r="E59" s="182">
        <v>13035</v>
      </c>
    </row>
    <row r="60" spans="1:5" ht="15.75" customHeight="1">
      <c r="A60" s="182" t="s">
        <v>120</v>
      </c>
      <c r="B60" s="182" t="s">
        <v>65</v>
      </c>
      <c r="C60" s="182" t="s">
        <v>122</v>
      </c>
      <c r="D60" s="182">
        <v>0</v>
      </c>
      <c r="E60" s="182">
        <v>2560</v>
      </c>
    </row>
    <row r="61" spans="1:5" ht="15.75" customHeight="1">
      <c r="A61" s="182" t="s">
        <v>120</v>
      </c>
      <c r="B61" s="182" t="s">
        <v>65</v>
      </c>
      <c r="C61" s="182" t="s">
        <v>29</v>
      </c>
      <c r="D61" s="182">
        <v>80</v>
      </c>
      <c r="E61" s="182">
        <v>700</v>
      </c>
    </row>
    <row r="62" spans="1:5" ht="15.75" customHeight="1">
      <c r="A62" s="182" t="s">
        <v>124</v>
      </c>
      <c r="B62" s="182" t="s">
        <v>125</v>
      </c>
      <c r="C62" s="182" t="s">
        <v>121</v>
      </c>
      <c r="D62" s="182">
        <v>1400</v>
      </c>
      <c r="E62" s="182">
        <v>15154</v>
      </c>
    </row>
    <row r="63" spans="1:5" ht="15.75" customHeight="1">
      <c r="A63" s="182" t="s">
        <v>124</v>
      </c>
      <c r="B63" s="182" t="s">
        <v>125</v>
      </c>
      <c r="C63" s="182" t="s">
        <v>28</v>
      </c>
      <c r="D63" s="182">
        <v>4017</v>
      </c>
      <c r="E63" s="182">
        <v>4017</v>
      </c>
    </row>
    <row r="64" spans="1:5" ht="15.75" customHeight="1">
      <c r="A64" s="182" t="s">
        <v>124</v>
      </c>
      <c r="B64" s="182" t="s">
        <v>125</v>
      </c>
      <c r="C64" s="182" t="s">
        <v>16</v>
      </c>
      <c r="D64" s="182">
        <v>200</v>
      </c>
      <c r="E64" s="182">
        <v>2173</v>
      </c>
    </row>
    <row r="65" spans="1:5" ht="15.75" customHeight="1">
      <c r="A65" s="182" t="s">
        <v>124</v>
      </c>
      <c r="B65" s="182" t="s">
        <v>125</v>
      </c>
      <c r="C65" s="182" t="s">
        <v>17</v>
      </c>
      <c r="D65" s="182">
        <v>3338</v>
      </c>
      <c r="E65" s="182">
        <v>14586</v>
      </c>
    </row>
    <row r="66" spans="1:5" ht="15.75" customHeight="1">
      <c r="A66" s="182" t="s">
        <v>124</v>
      </c>
      <c r="B66" s="182" t="s">
        <v>125</v>
      </c>
      <c r="C66" s="182" t="s">
        <v>122</v>
      </c>
      <c r="D66" s="182">
        <v>0</v>
      </c>
      <c r="E66" s="182">
        <v>8240</v>
      </c>
    </row>
    <row r="67" spans="1:5" ht="15.75" customHeight="1">
      <c r="A67" s="182" t="s">
        <v>124</v>
      </c>
      <c r="B67" s="182" t="s">
        <v>126</v>
      </c>
      <c r="C67" s="182" t="s">
        <v>121</v>
      </c>
      <c r="D67" s="182">
        <v>4879</v>
      </c>
      <c r="E67" s="182">
        <v>24569</v>
      </c>
    </row>
    <row r="68" spans="1:5" ht="15.75" customHeight="1">
      <c r="A68" s="182" t="s">
        <v>124</v>
      </c>
      <c r="B68" s="182" t="s">
        <v>126</v>
      </c>
      <c r="C68" s="182" t="s">
        <v>28</v>
      </c>
      <c r="D68" s="182">
        <v>1950</v>
      </c>
      <c r="E68" s="182">
        <v>3250</v>
      </c>
    </row>
    <row r="69" spans="1:5" ht="15.75" customHeight="1">
      <c r="A69" s="182" t="s">
        <v>124</v>
      </c>
      <c r="B69" s="182" t="s">
        <v>126</v>
      </c>
      <c r="C69" s="182" t="s">
        <v>16</v>
      </c>
      <c r="D69" s="182">
        <v>200</v>
      </c>
      <c r="E69" s="182">
        <v>2860</v>
      </c>
    </row>
    <row r="70" spans="1:5" ht="15.75" customHeight="1">
      <c r="A70" s="182" t="s">
        <v>124</v>
      </c>
      <c r="B70" s="182" t="s">
        <v>126</v>
      </c>
      <c r="C70" s="182" t="s">
        <v>17</v>
      </c>
      <c r="D70" s="182">
        <v>2425</v>
      </c>
      <c r="E70" s="182">
        <v>11855</v>
      </c>
    </row>
    <row r="71" spans="1:5" ht="15.75" customHeight="1">
      <c r="A71" s="182" t="s">
        <v>124</v>
      </c>
      <c r="B71" s="182" t="s">
        <v>126</v>
      </c>
      <c r="C71" s="182" t="s">
        <v>122</v>
      </c>
      <c r="D71" s="182">
        <v>0</v>
      </c>
      <c r="E71" s="182">
        <v>7200</v>
      </c>
    </row>
    <row r="72" spans="1:5" ht="15.75" customHeight="1">
      <c r="A72" s="182" t="s">
        <v>124</v>
      </c>
      <c r="B72" s="182" t="s">
        <v>127</v>
      </c>
      <c r="C72" s="182" t="s">
        <v>121</v>
      </c>
      <c r="D72" s="182">
        <v>200</v>
      </c>
      <c r="E72" s="182">
        <v>3259</v>
      </c>
    </row>
    <row r="73" spans="1:5" ht="15.75" customHeight="1">
      <c r="A73" s="182" t="s">
        <v>124</v>
      </c>
      <c r="B73" s="182" t="s">
        <v>127</v>
      </c>
      <c r="C73" s="182" t="s">
        <v>28</v>
      </c>
      <c r="D73" s="182">
        <v>260</v>
      </c>
      <c r="E73" s="182">
        <v>520</v>
      </c>
    </row>
    <row r="74" spans="1:5" ht="15.75" customHeight="1">
      <c r="A74" s="182" t="s">
        <v>124</v>
      </c>
      <c r="B74" s="182" t="s">
        <v>127</v>
      </c>
      <c r="C74" s="182" t="s">
        <v>16</v>
      </c>
      <c r="D74" s="182">
        <v>200</v>
      </c>
      <c r="E74" s="182">
        <v>1713</v>
      </c>
    </row>
    <row r="75" spans="1:5" ht="15.75" customHeight="1">
      <c r="A75" s="182" t="s">
        <v>124</v>
      </c>
      <c r="B75" s="182" t="s">
        <v>127</v>
      </c>
      <c r="C75" s="182" t="s">
        <v>17</v>
      </c>
      <c r="D75" s="182">
        <v>2255</v>
      </c>
      <c r="E75" s="182">
        <v>12425</v>
      </c>
    </row>
    <row r="76" spans="1:5" ht="15.75" customHeight="1">
      <c r="A76" s="182" t="s">
        <v>124</v>
      </c>
      <c r="B76" s="182" t="s">
        <v>127</v>
      </c>
      <c r="C76" s="182" t="s">
        <v>122</v>
      </c>
      <c r="D76" s="182">
        <v>0</v>
      </c>
      <c r="E76" s="182">
        <v>5820</v>
      </c>
    </row>
    <row r="77" spans="1:5" ht="15.75" customHeight="1">
      <c r="A77" s="182" t="s">
        <v>124</v>
      </c>
      <c r="B77" s="182" t="s">
        <v>128</v>
      </c>
      <c r="C77" s="182" t="s">
        <v>121</v>
      </c>
      <c r="D77" s="182">
        <v>1350</v>
      </c>
      <c r="E77" s="182">
        <v>12611</v>
      </c>
    </row>
    <row r="78" spans="1:5" ht="15.75" customHeight="1">
      <c r="A78" s="182" t="s">
        <v>124</v>
      </c>
      <c r="B78" s="182" t="s">
        <v>128</v>
      </c>
      <c r="C78" s="182" t="s">
        <v>28</v>
      </c>
      <c r="D78" s="182">
        <v>500</v>
      </c>
      <c r="E78" s="182">
        <v>1510</v>
      </c>
    </row>
    <row r="79" spans="1:5" ht="15.75" customHeight="1">
      <c r="A79" s="182" t="s">
        <v>124</v>
      </c>
      <c r="B79" s="182" t="s">
        <v>128</v>
      </c>
      <c r="C79" s="182" t="s">
        <v>16</v>
      </c>
      <c r="D79" s="182">
        <v>120</v>
      </c>
      <c r="E79" s="182">
        <v>2222</v>
      </c>
    </row>
    <row r="80" spans="1:5" ht="15.75" customHeight="1">
      <c r="A80" s="182" t="s">
        <v>124</v>
      </c>
      <c r="B80" s="182" t="s">
        <v>128</v>
      </c>
      <c r="C80" s="182" t="s">
        <v>17</v>
      </c>
      <c r="D80" s="182">
        <v>700</v>
      </c>
      <c r="E80" s="182">
        <v>13489</v>
      </c>
    </row>
    <row r="81" spans="1:5" ht="15.75" customHeight="1">
      <c r="A81" s="182" t="s">
        <v>124</v>
      </c>
      <c r="B81" s="182" t="s">
        <v>128</v>
      </c>
      <c r="C81" s="182" t="s">
        <v>122</v>
      </c>
      <c r="D81" s="182">
        <v>0</v>
      </c>
      <c r="E81" s="182">
        <v>8320</v>
      </c>
    </row>
    <row r="82" spans="1:5" ht="15.75" customHeight="1">
      <c r="A82" s="182" t="s">
        <v>124</v>
      </c>
      <c r="B82" s="182" t="s">
        <v>129</v>
      </c>
      <c r="C82" s="182" t="s">
        <v>121</v>
      </c>
      <c r="D82" s="182">
        <v>200</v>
      </c>
      <c r="E82" s="182">
        <v>1918</v>
      </c>
    </row>
    <row r="83" spans="1:5" ht="15.75" customHeight="1">
      <c r="A83" s="182" t="s">
        <v>124</v>
      </c>
      <c r="B83" s="182" t="s">
        <v>129</v>
      </c>
      <c r="C83" s="182" t="s">
        <v>28</v>
      </c>
      <c r="D83" s="182">
        <v>45</v>
      </c>
      <c r="E83" s="182">
        <v>85</v>
      </c>
    </row>
    <row r="84" spans="1:5" ht="15.75" customHeight="1">
      <c r="A84" s="182" t="s">
        <v>124</v>
      </c>
      <c r="B84" s="182" t="s">
        <v>129</v>
      </c>
      <c r="C84" s="182" t="s">
        <v>16</v>
      </c>
      <c r="D84" s="182">
        <v>50</v>
      </c>
      <c r="E84" s="182">
        <v>346</v>
      </c>
    </row>
    <row r="85" spans="1:5" ht="15.75" customHeight="1">
      <c r="A85" s="182" t="s">
        <v>124</v>
      </c>
      <c r="B85" s="182" t="s">
        <v>129</v>
      </c>
      <c r="C85" s="182" t="s">
        <v>17</v>
      </c>
      <c r="D85" s="182">
        <v>600</v>
      </c>
      <c r="E85" s="182">
        <v>3000</v>
      </c>
    </row>
    <row r="86" spans="1:5" ht="15.75" customHeight="1">
      <c r="A86" s="182" t="s">
        <v>124</v>
      </c>
      <c r="B86" s="182" t="s">
        <v>129</v>
      </c>
      <c r="C86" s="182" t="s">
        <v>122</v>
      </c>
      <c r="D86" s="182">
        <v>0</v>
      </c>
      <c r="E86" s="182">
        <v>859</v>
      </c>
    </row>
    <row r="87" spans="1:5" ht="15.75" customHeight="1">
      <c r="A87" s="182" t="s">
        <v>124</v>
      </c>
      <c r="B87" s="182" t="s">
        <v>130</v>
      </c>
      <c r="C87" s="182" t="s">
        <v>121</v>
      </c>
      <c r="D87" s="182">
        <v>900</v>
      </c>
      <c r="E87" s="182">
        <v>11109</v>
      </c>
    </row>
    <row r="88" spans="1:5" ht="15.75" customHeight="1">
      <c r="A88" s="182" t="s">
        <v>124</v>
      </c>
      <c r="B88" s="182" t="s">
        <v>130</v>
      </c>
      <c r="C88" s="182" t="s">
        <v>28</v>
      </c>
      <c r="D88" s="182">
        <v>440</v>
      </c>
      <c r="E88" s="182">
        <v>880</v>
      </c>
    </row>
    <row r="89" spans="1:5" ht="15.75" customHeight="1">
      <c r="A89" s="182" t="s">
        <v>124</v>
      </c>
      <c r="B89" s="182" t="s">
        <v>130</v>
      </c>
      <c r="C89" s="182" t="s">
        <v>16</v>
      </c>
      <c r="D89" s="182">
        <v>400</v>
      </c>
      <c r="E89" s="182">
        <v>2725</v>
      </c>
    </row>
    <row r="90" spans="1:5" ht="15.75" customHeight="1">
      <c r="A90" s="182" t="s">
        <v>124</v>
      </c>
      <c r="B90" s="182" t="s">
        <v>130</v>
      </c>
      <c r="C90" s="182" t="s">
        <v>17</v>
      </c>
      <c r="D90" s="182">
        <v>3000</v>
      </c>
      <c r="E90" s="182">
        <v>15000</v>
      </c>
    </row>
    <row r="91" spans="1:5" ht="15.75" customHeight="1">
      <c r="A91" s="182" t="s">
        <v>124</v>
      </c>
      <c r="B91" s="182" t="s">
        <v>130</v>
      </c>
      <c r="C91" s="182" t="s">
        <v>122</v>
      </c>
      <c r="D91" s="182">
        <v>0</v>
      </c>
      <c r="E91" s="182">
        <v>8080</v>
      </c>
    </row>
    <row r="92" spans="1:5" ht="15.75" customHeight="1">
      <c r="A92" s="201" t="s">
        <v>131</v>
      </c>
      <c r="B92" s="182" t="s">
        <v>131</v>
      </c>
      <c r="C92" s="182" t="s">
        <v>121</v>
      </c>
      <c r="D92" s="182">
        <v>976</v>
      </c>
      <c r="E92" s="182">
        <v>16914</v>
      </c>
    </row>
    <row r="93" spans="1:5" ht="15.75" customHeight="1">
      <c r="A93" s="201" t="s">
        <v>131</v>
      </c>
      <c r="B93" s="182" t="s">
        <v>131</v>
      </c>
      <c r="C93" s="182" t="s">
        <v>28</v>
      </c>
      <c r="D93" s="182">
        <v>1846</v>
      </c>
      <c r="E93" s="182">
        <v>3432</v>
      </c>
    </row>
    <row r="94" spans="1:5" ht="15.75" customHeight="1">
      <c r="A94" s="201" t="s">
        <v>131</v>
      </c>
      <c r="B94" s="182" t="s">
        <v>131</v>
      </c>
      <c r="C94" s="182" t="s">
        <v>16</v>
      </c>
      <c r="D94" s="182">
        <v>610</v>
      </c>
      <c r="E94" s="182">
        <v>2540</v>
      </c>
    </row>
    <row r="95" spans="1:5" ht="15.75" customHeight="1">
      <c r="A95" s="201" t="s">
        <v>131</v>
      </c>
      <c r="B95" s="182" t="s">
        <v>131</v>
      </c>
      <c r="C95" s="182" t="s">
        <v>17</v>
      </c>
      <c r="D95" s="182">
        <v>1453</v>
      </c>
      <c r="E95" s="182">
        <v>9013</v>
      </c>
    </row>
    <row r="96" spans="1:5" ht="15.75" customHeight="1">
      <c r="A96" s="201" t="s">
        <v>131</v>
      </c>
      <c r="B96" s="182" t="s">
        <v>131</v>
      </c>
      <c r="C96" s="182" t="s">
        <v>122</v>
      </c>
      <c r="D96" s="182">
        <v>0</v>
      </c>
      <c r="E96" s="182">
        <v>10560</v>
      </c>
    </row>
    <row r="97" spans="1:5" ht="15.75" customHeight="1">
      <c r="A97" s="182" t="s">
        <v>132</v>
      </c>
      <c r="B97" s="182" t="s">
        <v>104</v>
      </c>
      <c r="C97" s="182" t="s">
        <v>121</v>
      </c>
      <c r="D97" s="182">
        <v>679</v>
      </c>
      <c r="E97" s="182">
        <v>26313</v>
      </c>
    </row>
    <row r="98" spans="1:5" ht="15.75" customHeight="1">
      <c r="A98" s="182" t="s">
        <v>132</v>
      </c>
      <c r="B98" s="182" t="s">
        <v>104</v>
      </c>
      <c r="C98" s="182" t="s">
        <v>28</v>
      </c>
      <c r="D98" s="182">
        <v>1417</v>
      </c>
      <c r="E98" s="182">
        <v>4251</v>
      </c>
    </row>
    <row r="99" spans="1:5" ht="15.75" customHeight="1">
      <c r="A99" s="182" t="s">
        <v>132</v>
      </c>
      <c r="B99" s="182" t="s">
        <v>104</v>
      </c>
      <c r="C99" s="182" t="s">
        <v>16</v>
      </c>
      <c r="D99" s="182">
        <v>654</v>
      </c>
      <c r="E99" s="182">
        <v>1962</v>
      </c>
    </row>
    <row r="100" spans="1:5" ht="15.75" customHeight="1">
      <c r="A100" s="182" t="s">
        <v>132</v>
      </c>
      <c r="B100" s="182" t="s">
        <v>104</v>
      </c>
      <c r="C100" s="182" t="s">
        <v>17</v>
      </c>
      <c r="D100" s="182">
        <v>7000</v>
      </c>
      <c r="E100" s="182">
        <v>35000</v>
      </c>
    </row>
    <row r="101" spans="1:5" ht="15.75" customHeight="1">
      <c r="A101" s="182" t="s">
        <v>132</v>
      </c>
      <c r="B101" s="182" t="s">
        <v>104</v>
      </c>
      <c r="C101" s="182" t="s">
        <v>122</v>
      </c>
      <c r="D101" s="182">
        <v>0</v>
      </c>
      <c r="E101" s="182">
        <v>13496</v>
      </c>
    </row>
    <row r="102" spans="1:5" ht="15.75" customHeight="1">
      <c r="A102" s="182" t="s">
        <v>132</v>
      </c>
      <c r="B102" s="182" t="s">
        <v>105</v>
      </c>
      <c r="C102" s="182" t="s">
        <v>121</v>
      </c>
      <c r="D102" s="182">
        <v>1666</v>
      </c>
      <c r="E102" s="182">
        <v>12175</v>
      </c>
    </row>
    <row r="103" spans="1:5" ht="15.75" customHeight="1">
      <c r="A103" s="182" t="s">
        <v>132</v>
      </c>
      <c r="B103" s="182" t="s">
        <v>105</v>
      </c>
      <c r="C103" s="182" t="s">
        <v>28</v>
      </c>
      <c r="D103" s="182">
        <v>0</v>
      </c>
      <c r="E103" s="182">
        <v>3630</v>
      </c>
    </row>
    <row r="104" spans="1:5" ht="15.75" customHeight="1">
      <c r="A104" s="182" t="s">
        <v>132</v>
      </c>
      <c r="B104" s="182" t="s">
        <v>105</v>
      </c>
      <c r="C104" s="182" t="s">
        <v>16</v>
      </c>
      <c r="D104" s="182">
        <v>0</v>
      </c>
      <c r="E104" s="182">
        <v>1750</v>
      </c>
    </row>
    <row r="105" spans="1:5" ht="15.75" customHeight="1">
      <c r="A105" s="182" t="s">
        <v>132</v>
      </c>
      <c r="B105" s="182" t="s">
        <v>105</v>
      </c>
      <c r="C105" s="182" t="s">
        <v>17</v>
      </c>
      <c r="D105" s="182">
        <v>0</v>
      </c>
      <c r="E105" s="182">
        <v>0</v>
      </c>
    </row>
    <row r="106" spans="1:5" ht="15.75" customHeight="1">
      <c r="A106" s="182" t="s">
        <v>132</v>
      </c>
      <c r="B106" s="182" t="s">
        <v>105</v>
      </c>
      <c r="C106" s="182" t="s">
        <v>122</v>
      </c>
      <c r="D106" s="182">
        <v>0</v>
      </c>
      <c r="E106" s="182">
        <v>11193</v>
      </c>
    </row>
    <row r="107" spans="1:5" ht="15.75" customHeight="1">
      <c r="A107" s="182" t="s">
        <v>132</v>
      </c>
      <c r="B107" s="182" t="s">
        <v>106</v>
      </c>
      <c r="C107" s="182" t="s">
        <v>121</v>
      </c>
      <c r="D107" s="182">
        <v>816</v>
      </c>
      <c r="E107" s="182">
        <v>9246</v>
      </c>
    </row>
    <row r="108" spans="1:5" ht="15.75" customHeight="1">
      <c r="A108" s="182" t="s">
        <v>132</v>
      </c>
      <c r="B108" s="182" t="s">
        <v>106</v>
      </c>
      <c r="C108" s="182" t="s">
        <v>28</v>
      </c>
      <c r="D108" s="182">
        <v>548</v>
      </c>
      <c r="E108" s="182">
        <v>1644</v>
      </c>
    </row>
    <row r="109" spans="1:5" ht="15.75" customHeight="1">
      <c r="A109" s="182" t="s">
        <v>132</v>
      </c>
      <c r="B109" s="182" t="s">
        <v>106</v>
      </c>
      <c r="C109" s="182" t="s">
        <v>16</v>
      </c>
      <c r="D109" s="182">
        <v>300</v>
      </c>
      <c r="E109" s="182">
        <v>1820</v>
      </c>
    </row>
    <row r="110" spans="1:5" ht="15.75" customHeight="1">
      <c r="A110" s="182" t="s">
        <v>132</v>
      </c>
      <c r="B110" s="182" t="s">
        <v>106</v>
      </c>
      <c r="C110" s="182" t="s">
        <v>17</v>
      </c>
      <c r="D110" s="182">
        <v>0</v>
      </c>
      <c r="E110" s="182">
        <v>0</v>
      </c>
    </row>
    <row r="111" spans="1:5" ht="15.75" customHeight="1">
      <c r="A111" s="182" t="s">
        <v>132</v>
      </c>
      <c r="B111" s="182" t="s">
        <v>106</v>
      </c>
      <c r="C111" s="182" t="s">
        <v>122</v>
      </c>
      <c r="D111" s="182">
        <v>0</v>
      </c>
      <c r="E111" s="182">
        <v>8160</v>
      </c>
    </row>
    <row r="112" spans="1:5" ht="15.75" customHeight="1">
      <c r="A112" s="182" t="s">
        <v>132</v>
      </c>
      <c r="B112" s="182" t="s">
        <v>107</v>
      </c>
      <c r="C112" s="182" t="s">
        <v>121</v>
      </c>
      <c r="D112" s="182">
        <v>1065</v>
      </c>
      <c r="E112" s="182">
        <v>11407</v>
      </c>
    </row>
    <row r="113" spans="1:5" ht="15.75" customHeight="1">
      <c r="A113" s="182" t="s">
        <v>132</v>
      </c>
      <c r="B113" s="182" t="s">
        <v>107</v>
      </c>
      <c r="C113" s="182" t="s">
        <v>28</v>
      </c>
      <c r="D113" s="182">
        <v>209</v>
      </c>
      <c r="E113" s="182">
        <v>2031</v>
      </c>
    </row>
    <row r="114" spans="1:5" ht="15.75" customHeight="1">
      <c r="A114" s="182" t="s">
        <v>132</v>
      </c>
      <c r="B114" s="182" t="s">
        <v>107</v>
      </c>
      <c r="C114" s="182" t="s">
        <v>16</v>
      </c>
      <c r="D114" s="182">
        <v>680</v>
      </c>
      <c r="E114" s="182">
        <v>2040</v>
      </c>
    </row>
    <row r="115" spans="1:5" ht="15.75" customHeight="1">
      <c r="A115" s="182" t="s">
        <v>132</v>
      </c>
      <c r="B115" s="182" t="s">
        <v>107</v>
      </c>
      <c r="C115" s="182" t="s">
        <v>17</v>
      </c>
      <c r="D115" s="182">
        <v>0</v>
      </c>
      <c r="E115" s="182">
        <v>0</v>
      </c>
    </row>
    <row r="116" spans="1:5" ht="15.75" customHeight="1">
      <c r="A116" s="182" t="s">
        <v>132</v>
      </c>
      <c r="B116" s="182" t="s">
        <v>107</v>
      </c>
      <c r="C116" s="182" t="s">
        <v>122</v>
      </c>
      <c r="D116" s="182">
        <v>0</v>
      </c>
      <c r="E116" s="182">
        <v>8220</v>
      </c>
    </row>
    <row r="117" spans="1:5" ht="15.75" customHeight="1"/>
    <row r="118" spans="1:5" ht="15.75" customHeight="1"/>
    <row r="119" spans="1:5" ht="15.75" customHeight="1"/>
    <row r="120" spans="1:5" ht="15.75" customHeight="1"/>
    <row r="121" spans="1:5" ht="15.75" customHeight="1"/>
    <row r="122" spans="1:5" ht="15.75" customHeight="1"/>
    <row r="123" spans="1:5" ht="15.75" customHeight="1"/>
    <row r="124" spans="1:5" ht="15.75" customHeight="1"/>
    <row r="125" spans="1:5" ht="15.75" customHeight="1"/>
    <row r="126" spans="1:5" ht="15.75" customHeight="1"/>
    <row r="127" spans="1:5" ht="15.75" customHeight="1"/>
    <row r="128" spans="1:5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8" width="14.42578125" customWidth="1"/>
    <col min="9" max="9" width="51.28515625" customWidth="1"/>
    <col min="10" max="10" width="40.28515625" customWidth="1"/>
  </cols>
  <sheetData>
    <row r="1" spans="1:26" ht="15.75" customHeight="1">
      <c r="A1" s="202"/>
      <c r="B1" s="202"/>
      <c r="C1" s="202"/>
      <c r="D1" s="202"/>
      <c r="E1" s="202"/>
      <c r="F1" s="202"/>
      <c r="G1" s="202"/>
      <c r="H1" s="202"/>
      <c r="I1" s="203"/>
      <c r="J1" s="203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 spans="1:26" ht="15.75" customHeight="1">
      <c r="A2" s="204" t="s">
        <v>118</v>
      </c>
      <c r="B2" s="205" t="s">
        <v>141</v>
      </c>
      <c r="C2" s="204"/>
      <c r="D2" s="202"/>
      <c r="E2" s="202"/>
      <c r="F2" s="202"/>
      <c r="G2" s="202"/>
      <c r="H2" s="202"/>
      <c r="I2" s="203"/>
      <c r="J2" s="203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</row>
    <row r="3" spans="1:26" ht="15.75" customHeight="1">
      <c r="A3" s="202"/>
      <c r="B3" s="202"/>
      <c r="C3" s="204" t="s">
        <v>142</v>
      </c>
      <c r="D3" s="202"/>
      <c r="E3" s="202"/>
      <c r="F3" s="202"/>
      <c r="G3" s="202"/>
      <c r="H3" s="202"/>
      <c r="I3" s="203"/>
      <c r="J3" s="203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 spans="1:26" ht="15.75" customHeight="1">
      <c r="A4" s="204" t="s">
        <v>117</v>
      </c>
      <c r="B4" s="204" t="s">
        <v>31</v>
      </c>
      <c r="C4" s="204" t="s">
        <v>143</v>
      </c>
      <c r="D4" s="204" t="s">
        <v>144</v>
      </c>
      <c r="E4" s="204" t="s">
        <v>145</v>
      </c>
      <c r="F4" s="204" t="s">
        <v>146</v>
      </c>
      <c r="G4" s="204" t="s">
        <v>147</v>
      </c>
      <c r="H4" s="204" t="s">
        <v>148</v>
      </c>
      <c r="I4" s="203" t="s">
        <v>149</v>
      </c>
      <c r="J4" s="203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spans="1:26" ht="15.75" customHeight="1">
      <c r="A5" s="204" t="s">
        <v>124</v>
      </c>
      <c r="B5" s="204" t="s">
        <v>150</v>
      </c>
      <c r="C5" s="206">
        <v>-0.1</v>
      </c>
      <c r="D5" s="206">
        <v>-0.2</v>
      </c>
      <c r="E5" s="206">
        <v>-0.1</v>
      </c>
      <c r="F5" s="206">
        <v>-0.05</v>
      </c>
      <c r="G5" s="206">
        <v>-0.15</v>
      </c>
      <c r="H5" s="206">
        <v>-0.1</v>
      </c>
      <c r="I5" s="203" t="s">
        <v>151</v>
      </c>
      <c r="J5" s="203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 spans="1:26" ht="15.75" customHeight="1">
      <c r="A6" s="202"/>
      <c r="B6" s="204" t="s">
        <v>152</v>
      </c>
      <c r="C6" s="206">
        <v>0.1</v>
      </c>
      <c r="D6" s="206">
        <v>0.15</v>
      </c>
      <c r="E6" s="206">
        <v>-0.1</v>
      </c>
      <c r="F6" s="206">
        <v>0.1</v>
      </c>
      <c r="G6" s="206">
        <v>-0.05</v>
      </c>
      <c r="H6" s="206">
        <v>0.05</v>
      </c>
      <c r="I6" s="203" t="s">
        <v>153</v>
      </c>
      <c r="J6" s="203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 spans="1:26" ht="15.75" customHeight="1">
      <c r="A7" s="202"/>
      <c r="B7" s="202"/>
      <c r="C7" s="202"/>
      <c r="D7" s="202"/>
      <c r="E7" s="202"/>
      <c r="F7" s="202"/>
      <c r="G7" s="202"/>
      <c r="H7" s="202"/>
      <c r="I7" s="203"/>
      <c r="J7" s="203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26" ht="15.75" customHeight="1">
      <c r="A8" s="202"/>
      <c r="B8" s="202"/>
      <c r="C8" s="202"/>
      <c r="D8" s="202"/>
      <c r="E8" s="202"/>
      <c r="F8" s="202"/>
      <c r="G8" s="202"/>
      <c r="H8" s="202"/>
      <c r="I8" s="203"/>
      <c r="J8" s="203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</row>
    <row r="9" spans="1:26" ht="15.75" customHeight="1">
      <c r="A9" s="202"/>
      <c r="B9" s="202"/>
      <c r="C9" s="202"/>
      <c r="D9" s="202"/>
      <c r="E9" s="202"/>
      <c r="F9" s="202"/>
      <c r="G9" s="202"/>
      <c r="H9" s="202"/>
      <c r="I9" s="203"/>
      <c r="J9" s="203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 spans="1:26" ht="15.75" customHeight="1">
      <c r="A10" s="202"/>
      <c r="B10" s="202"/>
      <c r="C10" s="202"/>
      <c r="D10" s="202"/>
      <c r="E10" s="202"/>
      <c r="F10" s="202"/>
      <c r="G10" s="202"/>
      <c r="H10" s="202"/>
      <c r="I10" s="203"/>
      <c r="J10" s="203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</row>
    <row r="11" spans="1:26" ht="15.75" customHeight="1">
      <c r="A11" s="202"/>
      <c r="B11" s="202"/>
      <c r="C11" s="202"/>
      <c r="D11" s="202"/>
      <c r="E11" s="202"/>
      <c r="F11" s="202"/>
      <c r="G11" s="202"/>
      <c r="H11" s="202"/>
      <c r="I11" s="203"/>
      <c r="J11" s="203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</row>
    <row r="12" spans="1:26" ht="15.75" customHeight="1">
      <c r="A12" s="202"/>
      <c r="B12" s="202"/>
      <c r="C12" s="202"/>
      <c r="D12" s="202"/>
      <c r="E12" s="202"/>
      <c r="F12" s="202"/>
      <c r="G12" s="202"/>
      <c r="H12" s="202"/>
      <c r="I12" s="203"/>
      <c r="J12" s="203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</row>
    <row r="13" spans="1:26" ht="15.75" customHeight="1">
      <c r="A13" s="202"/>
      <c r="B13" s="202"/>
      <c r="C13" s="204" t="s">
        <v>154</v>
      </c>
      <c r="D13" s="202"/>
      <c r="E13" s="202"/>
      <c r="F13" s="202"/>
      <c r="G13" s="202"/>
      <c r="H13" s="202"/>
      <c r="I13" s="203"/>
      <c r="J13" s="203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</row>
    <row r="14" spans="1:26" ht="15.75" customHeight="1">
      <c r="A14" s="204" t="s">
        <v>117</v>
      </c>
      <c r="B14" s="204" t="s">
        <v>31</v>
      </c>
      <c r="C14" s="204" t="s">
        <v>143</v>
      </c>
      <c r="D14" s="204" t="s">
        <v>144</v>
      </c>
      <c r="E14" s="204" t="s">
        <v>155</v>
      </c>
      <c r="F14" s="204" t="s">
        <v>146</v>
      </c>
      <c r="G14" s="204" t="s">
        <v>147</v>
      </c>
      <c r="H14" s="204" t="s">
        <v>148</v>
      </c>
      <c r="I14" s="203" t="s">
        <v>149</v>
      </c>
      <c r="J14" s="203" t="s">
        <v>156</v>
      </c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 spans="1:26" ht="15.75" customHeight="1">
      <c r="A15" s="204"/>
      <c r="B15" s="204"/>
      <c r="C15" s="204" t="s">
        <v>157</v>
      </c>
      <c r="D15" s="204" t="s">
        <v>157</v>
      </c>
      <c r="E15" s="204" t="s">
        <v>157</v>
      </c>
      <c r="F15" s="204" t="s">
        <v>157</v>
      </c>
      <c r="G15" s="204" t="s">
        <v>157</v>
      </c>
      <c r="H15" s="204" t="s">
        <v>157</v>
      </c>
      <c r="I15" s="203"/>
      <c r="J15" s="203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 spans="1:26" ht="15.75" customHeight="1">
      <c r="A16" s="204" t="s">
        <v>124</v>
      </c>
      <c r="B16" s="204" t="s">
        <v>150</v>
      </c>
      <c r="C16" s="204" t="s">
        <v>52</v>
      </c>
      <c r="D16" s="204" t="s">
        <v>52</v>
      </c>
      <c r="E16" s="204" t="s">
        <v>53</v>
      </c>
      <c r="F16" s="204" t="s">
        <v>53</v>
      </c>
      <c r="G16" s="204" t="s">
        <v>60</v>
      </c>
      <c r="H16" s="204" t="s">
        <v>60</v>
      </c>
      <c r="I16" s="203" t="s">
        <v>158</v>
      </c>
      <c r="J16" s="203" t="s">
        <v>159</v>
      </c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spans="1:26" ht="15.75" customHeight="1">
      <c r="A17" s="202"/>
      <c r="B17" s="204" t="s">
        <v>152</v>
      </c>
      <c r="C17" s="204" t="s">
        <v>53</v>
      </c>
      <c r="D17" s="204" t="s">
        <v>60</v>
      </c>
      <c r="E17" s="204" t="s">
        <v>60</v>
      </c>
      <c r="F17" s="204" t="s">
        <v>60</v>
      </c>
      <c r="G17" s="204" t="s">
        <v>53</v>
      </c>
      <c r="H17" s="204" t="s">
        <v>53</v>
      </c>
      <c r="I17" s="203" t="s">
        <v>160</v>
      </c>
      <c r="J17" s="203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</row>
    <row r="18" spans="1:26" ht="15.75" customHeight="1">
      <c r="A18" s="202"/>
      <c r="B18" s="204" t="s">
        <v>161</v>
      </c>
      <c r="C18" s="204" t="s">
        <v>52</v>
      </c>
      <c r="D18" s="204" t="s">
        <v>53</v>
      </c>
      <c r="E18" s="204" t="s">
        <v>53</v>
      </c>
      <c r="F18" s="204" t="s">
        <v>53</v>
      </c>
      <c r="G18" s="204" t="s">
        <v>53</v>
      </c>
      <c r="H18" s="204" t="s">
        <v>53</v>
      </c>
      <c r="I18" s="203" t="s">
        <v>162</v>
      </c>
      <c r="J18" s="203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</row>
    <row r="19" spans="1:26" ht="15.75" customHeight="1">
      <c r="A19" s="202"/>
      <c r="B19" s="202"/>
      <c r="C19" s="202"/>
      <c r="D19" s="202"/>
      <c r="E19" s="202"/>
      <c r="F19" s="202"/>
      <c r="G19" s="202"/>
      <c r="H19" s="202"/>
      <c r="I19" s="203"/>
      <c r="J19" s="203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</row>
    <row r="20" spans="1:26" ht="15.75" customHeight="1">
      <c r="A20" s="202"/>
      <c r="B20" s="202"/>
      <c r="C20" s="202"/>
      <c r="D20" s="202"/>
      <c r="E20" s="202"/>
      <c r="F20" s="202"/>
      <c r="G20" s="202"/>
      <c r="H20" s="202"/>
      <c r="I20" s="203"/>
      <c r="J20" s="203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</row>
    <row r="21" spans="1:26" ht="15.75" customHeight="1">
      <c r="A21" s="202"/>
      <c r="B21" s="202"/>
      <c r="C21" s="202"/>
      <c r="D21" s="202"/>
      <c r="E21" s="202"/>
      <c r="F21" s="202"/>
      <c r="G21" s="202"/>
      <c r="H21" s="202"/>
      <c r="I21" s="203"/>
      <c r="J21" s="203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</row>
    <row r="22" spans="1:26" ht="15.75" customHeight="1">
      <c r="A22" s="202"/>
      <c r="B22" s="202"/>
      <c r="C22" s="202"/>
      <c r="D22" s="202"/>
      <c r="E22" s="202"/>
      <c r="F22" s="202"/>
      <c r="G22" s="202"/>
      <c r="H22" s="202"/>
      <c r="I22" s="203"/>
      <c r="J22" s="203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</row>
    <row r="23" spans="1:26" ht="15.75" customHeight="1">
      <c r="A23" s="202"/>
      <c r="B23" s="202"/>
      <c r="C23" s="202"/>
      <c r="D23" s="202"/>
      <c r="E23" s="202"/>
      <c r="F23" s="202"/>
      <c r="G23" s="202"/>
      <c r="H23" s="202"/>
      <c r="I23" s="203"/>
      <c r="J23" s="203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</row>
    <row r="24" spans="1:26" ht="15.75" customHeight="1">
      <c r="A24" s="202"/>
      <c r="B24" s="202"/>
      <c r="C24" s="202"/>
      <c r="D24" s="202"/>
      <c r="E24" s="202"/>
      <c r="F24" s="202"/>
      <c r="G24" s="202"/>
      <c r="H24" s="202"/>
      <c r="I24" s="203"/>
      <c r="J24" s="203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</row>
    <row r="25" spans="1:26" ht="15.75" customHeight="1">
      <c r="A25" s="202"/>
      <c r="B25" s="202"/>
      <c r="C25" s="202"/>
      <c r="D25" s="202"/>
      <c r="E25" s="202"/>
      <c r="F25" s="202"/>
      <c r="G25" s="202"/>
      <c r="H25" s="202"/>
      <c r="I25" s="203"/>
      <c r="J25" s="203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</row>
    <row r="26" spans="1:26" ht="15.75" customHeight="1">
      <c r="A26" s="202"/>
      <c r="B26" s="202"/>
      <c r="C26" s="202"/>
      <c r="D26" s="202"/>
      <c r="E26" s="202"/>
      <c r="F26" s="202"/>
      <c r="G26" s="202"/>
      <c r="H26" s="202"/>
      <c r="I26" s="203"/>
      <c r="J26" s="203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 spans="1:26" ht="15.75" customHeight="1">
      <c r="A27" s="202"/>
      <c r="B27" s="202"/>
      <c r="C27" s="202"/>
      <c r="D27" s="202"/>
      <c r="E27" s="202"/>
      <c r="F27" s="202"/>
      <c r="G27" s="202"/>
      <c r="H27" s="202"/>
      <c r="I27" s="203"/>
      <c r="J27" s="203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</row>
    <row r="28" spans="1:26" ht="15.75" customHeight="1">
      <c r="A28" s="202"/>
      <c r="B28" s="202"/>
      <c r="C28" s="202"/>
      <c r="D28" s="202"/>
      <c r="E28" s="202"/>
      <c r="F28" s="202"/>
      <c r="G28" s="202"/>
      <c r="H28" s="202"/>
      <c r="I28" s="203"/>
      <c r="J28" s="203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</row>
    <row r="29" spans="1:26" ht="15.75" customHeight="1">
      <c r="A29" s="202"/>
      <c r="B29" s="202"/>
      <c r="C29" s="202"/>
      <c r="D29" s="202"/>
      <c r="E29" s="202"/>
      <c r="F29" s="202"/>
      <c r="G29" s="202"/>
      <c r="H29" s="202"/>
      <c r="I29" s="203"/>
      <c r="J29" s="203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</row>
    <row r="30" spans="1:26" ht="15.75" customHeight="1">
      <c r="A30" s="202"/>
      <c r="B30" s="202"/>
      <c r="C30" s="202"/>
      <c r="D30" s="202"/>
      <c r="E30" s="202"/>
      <c r="F30" s="202"/>
      <c r="G30" s="202"/>
      <c r="H30" s="202"/>
      <c r="I30" s="203"/>
      <c r="J30" s="203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</row>
    <row r="31" spans="1:26" ht="15.75" customHeight="1">
      <c r="A31" s="202"/>
      <c r="B31" s="202"/>
      <c r="C31" s="202"/>
      <c r="D31" s="202"/>
      <c r="E31" s="202"/>
      <c r="F31" s="202"/>
      <c r="G31" s="202"/>
      <c r="H31" s="202"/>
      <c r="I31" s="203"/>
      <c r="J31" s="203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</row>
    <row r="32" spans="1:26" ht="15.75" customHeight="1">
      <c r="A32" s="202"/>
      <c r="B32" s="202"/>
      <c r="C32" s="202"/>
      <c r="D32" s="202"/>
      <c r="E32" s="202"/>
      <c r="F32" s="202"/>
      <c r="G32" s="202"/>
      <c r="H32" s="202"/>
      <c r="I32" s="203"/>
      <c r="J32" s="203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</row>
    <row r="33" spans="1:26" ht="15.75" customHeight="1">
      <c r="A33" s="202"/>
      <c r="B33" s="202"/>
      <c r="C33" s="202"/>
      <c r="D33" s="202"/>
      <c r="E33" s="202"/>
      <c r="F33" s="202"/>
      <c r="G33" s="202"/>
      <c r="H33" s="202"/>
      <c r="I33" s="203"/>
      <c r="J33" s="203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</row>
    <row r="34" spans="1:26" ht="15.75" customHeight="1">
      <c r="A34" s="202"/>
      <c r="B34" s="202"/>
      <c r="C34" s="202"/>
      <c r="D34" s="202"/>
      <c r="E34" s="202"/>
      <c r="F34" s="202"/>
      <c r="G34" s="202"/>
      <c r="H34" s="202"/>
      <c r="I34" s="203"/>
      <c r="J34" s="203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</row>
    <row r="35" spans="1:26" ht="15.75" customHeight="1">
      <c r="A35" s="202"/>
      <c r="B35" s="202"/>
      <c r="C35" s="202"/>
      <c r="D35" s="202"/>
      <c r="E35" s="202"/>
      <c r="F35" s="202"/>
      <c r="G35" s="202"/>
      <c r="H35" s="202"/>
      <c r="I35" s="203"/>
      <c r="J35" s="203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</row>
    <row r="36" spans="1:26" ht="15.75" customHeight="1">
      <c r="A36" s="202"/>
      <c r="B36" s="202"/>
      <c r="C36" s="202"/>
      <c r="D36" s="202"/>
      <c r="E36" s="202"/>
      <c r="F36" s="202"/>
      <c r="G36" s="202"/>
      <c r="H36" s="202"/>
      <c r="I36" s="203"/>
      <c r="J36" s="203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</row>
    <row r="37" spans="1:26" ht="15.75" customHeight="1">
      <c r="A37" s="202"/>
      <c r="B37" s="202"/>
      <c r="C37" s="202"/>
      <c r="D37" s="202"/>
      <c r="E37" s="202"/>
      <c r="F37" s="202"/>
      <c r="G37" s="202"/>
      <c r="H37" s="202"/>
      <c r="I37" s="203"/>
      <c r="J37" s="203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</row>
    <row r="38" spans="1:26" ht="15.75" customHeight="1">
      <c r="A38" s="202"/>
      <c r="B38" s="202"/>
      <c r="C38" s="202"/>
      <c r="D38" s="202"/>
      <c r="E38" s="202"/>
      <c r="F38" s="202"/>
      <c r="G38" s="202"/>
      <c r="H38" s="202"/>
      <c r="I38" s="203"/>
      <c r="J38" s="203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</row>
    <row r="39" spans="1:26" ht="15.75" customHeight="1">
      <c r="A39" s="202"/>
      <c r="B39" s="202"/>
      <c r="C39" s="202"/>
      <c r="D39" s="202"/>
      <c r="E39" s="202"/>
      <c r="F39" s="202"/>
      <c r="G39" s="202"/>
      <c r="H39" s="202"/>
      <c r="I39" s="203"/>
      <c r="J39" s="203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</row>
    <row r="40" spans="1:26" ht="15.75" customHeight="1">
      <c r="A40" s="202"/>
      <c r="B40" s="202"/>
      <c r="C40" s="202"/>
      <c r="D40" s="202"/>
      <c r="E40" s="202"/>
      <c r="F40" s="202"/>
      <c r="G40" s="202"/>
      <c r="H40" s="202"/>
      <c r="I40" s="203"/>
      <c r="J40" s="203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</row>
    <row r="41" spans="1:26" ht="15.75" customHeight="1">
      <c r="A41" s="202"/>
      <c r="B41" s="202"/>
      <c r="C41" s="202"/>
      <c r="D41" s="202"/>
      <c r="E41" s="202"/>
      <c r="F41" s="202"/>
      <c r="G41" s="202"/>
      <c r="H41" s="202"/>
      <c r="I41" s="203"/>
      <c r="J41" s="203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</row>
    <row r="42" spans="1:26" ht="15.75" customHeight="1">
      <c r="A42" s="202"/>
      <c r="B42" s="202"/>
      <c r="C42" s="202"/>
      <c r="D42" s="202"/>
      <c r="E42" s="202"/>
      <c r="F42" s="202"/>
      <c r="G42" s="202"/>
      <c r="H42" s="202"/>
      <c r="I42" s="203"/>
      <c r="J42" s="203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</row>
    <row r="43" spans="1:26" ht="15.75" customHeight="1">
      <c r="A43" s="202"/>
      <c r="B43" s="202"/>
      <c r="C43" s="202"/>
      <c r="D43" s="202"/>
      <c r="E43" s="202"/>
      <c r="F43" s="202"/>
      <c r="G43" s="202"/>
      <c r="H43" s="202"/>
      <c r="I43" s="203"/>
      <c r="J43" s="203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</row>
    <row r="44" spans="1:26" ht="15.75" customHeight="1">
      <c r="A44" s="202"/>
      <c r="B44" s="202"/>
      <c r="C44" s="202"/>
      <c r="D44" s="202"/>
      <c r="E44" s="202"/>
      <c r="F44" s="202"/>
      <c r="G44" s="202"/>
      <c r="H44" s="202"/>
      <c r="I44" s="203"/>
      <c r="J44" s="203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</row>
    <row r="45" spans="1:26" ht="15.75" customHeight="1">
      <c r="A45" s="202"/>
      <c r="B45" s="202"/>
      <c r="C45" s="202"/>
      <c r="D45" s="202"/>
      <c r="E45" s="202"/>
      <c r="F45" s="202"/>
      <c r="G45" s="202"/>
      <c r="H45" s="202"/>
      <c r="I45" s="203"/>
      <c r="J45" s="203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</row>
    <row r="46" spans="1:26" ht="15.75" customHeight="1">
      <c r="A46" s="202"/>
      <c r="B46" s="202"/>
      <c r="C46" s="202"/>
      <c r="D46" s="202"/>
      <c r="E46" s="202"/>
      <c r="F46" s="202"/>
      <c r="G46" s="202"/>
      <c r="H46" s="202"/>
      <c r="I46" s="203"/>
      <c r="J46" s="203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</row>
    <row r="47" spans="1:26" ht="15.75" customHeight="1">
      <c r="A47" s="202"/>
      <c r="B47" s="202"/>
      <c r="C47" s="202"/>
      <c r="D47" s="202"/>
      <c r="E47" s="202"/>
      <c r="F47" s="202"/>
      <c r="G47" s="202"/>
      <c r="H47" s="202"/>
      <c r="I47" s="203"/>
      <c r="J47" s="203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</row>
    <row r="48" spans="1:26" ht="15.75" customHeight="1">
      <c r="A48" s="202"/>
      <c r="B48" s="202"/>
      <c r="C48" s="202"/>
      <c r="D48" s="202"/>
      <c r="E48" s="202"/>
      <c r="F48" s="202"/>
      <c r="G48" s="202"/>
      <c r="H48" s="202"/>
      <c r="I48" s="203"/>
      <c r="J48" s="203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</row>
    <row r="49" spans="1:26" ht="15.75" customHeight="1">
      <c r="A49" s="202"/>
      <c r="B49" s="202"/>
      <c r="C49" s="202"/>
      <c r="D49" s="202"/>
      <c r="E49" s="202"/>
      <c r="F49" s="202"/>
      <c r="G49" s="202"/>
      <c r="H49" s="202"/>
      <c r="I49" s="203"/>
      <c r="J49" s="203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</row>
    <row r="50" spans="1:26" ht="15.75" customHeight="1">
      <c r="A50" s="202"/>
      <c r="B50" s="202"/>
      <c r="C50" s="202"/>
      <c r="D50" s="202"/>
      <c r="E50" s="202"/>
      <c r="F50" s="202"/>
      <c r="G50" s="202"/>
      <c r="H50" s="202"/>
      <c r="I50" s="203"/>
      <c r="J50" s="203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</row>
    <row r="51" spans="1:26" ht="15.75" customHeight="1">
      <c r="A51" s="202"/>
      <c r="B51" s="202"/>
      <c r="C51" s="202"/>
      <c r="D51" s="202"/>
      <c r="E51" s="202"/>
      <c r="F51" s="202"/>
      <c r="G51" s="202"/>
      <c r="H51" s="202"/>
      <c r="I51" s="203"/>
      <c r="J51" s="203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</row>
    <row r="52" spans="1:26" ht="15.75" customHeight="1">
      <c r="A52" s="202"/>
      <c r="B52" s="202"/>
      <c r="C52" s="202"/>
      <c r="D52" s="202"/>
      <c r="E52" s="202"/>
      <c r="F52" s="202"/>
      <c r="G52" s="202"/>
      <c r="H52" s="202"/>
      <c r="I52" s="203"/>
      <c r="J52" s="203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</row>
    <row r="53" spans="1:26" ht="15.75" customHeight="1">
      <c r="A53" s="202"/>
      <c r="B53" s="202"/>
      <c r="C53" s="202"/>
      <c r="D53" s="202"/>
      <c r="E53" s="202"/>
      <c r="F53" s="202"/>
      <c r="G53" s="202"/>
      <c r="H53" s="202"/>
      <c r="I53" s="203"/>
      <c r="J53" s="203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</row>
    <row r="54" spans="1:26" ht="15.75" customHeight="1">
      <c r="A54" s="202"/>
      <c r="B54" s="202"/>
      <c r="C54" s="202"/>
      <c r="D54" s="202"/>
      <c r="E54" s="202"/>
      <c r="F54" s="202"/>
      <c r="G54" s="202"/>
      <c r="H54" s="202"/>
      <c r="I54" s="203"/>
      <c r="J54" s="203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</row>
    <row r="55" spans="1:26" ht="15.75" customHeight="1">
      <c r="A55" s="202"/>
      <c r="B55" s="202"/>
      <c r="C55" s="202"/>
      <c r="D55" s="202"/>
      <c r="E55" s="202"/>
      <c r="F55" s="202"/>
      <c r="G55" s="202"/>
      <c r="H55" s="202"/>
      <c r="I55" s="203"/>
      <c r="J55" s="203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</row>
    <row r="56" spans="1:26" ht="15.75" customHeight="1">
      <c r="A56" s="202"/>
      <c r="B56" s="202"/>
      <c r="C56" s="202"/>
      <c r="D56" s="202"/>
      <c r="E56" s="202"/>
      <c r="F56" s="202"/>
      <c r="G56" s="202"/>
      <c r="H56" s="202"/>
      <c r="I56" s="203"/>
      <c r="J56" s="203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</row>
    <row r="57" spans="1:26" ht="15.75" customHeight="1">
      <c r="A57" s="202"/>
      <c r="B57" s="202"/>
      <c r="C57" s="202"/>
      <c r="D57" s="202"/>
      <c r="E57" s="202"/>
      <c r="F57" s="202"/>
      <c r="G57" s="202"/>
      <c r="H57" s="202"/>
      <c r="I57" s="203"/>
      <c r="J57" s="203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</row>
    <row r="58" spans="1:26" ht="15.75" customHeight="1">
      <c r="A58" s="202"/>
      <c r="B58" s="202"/>
      <c r="C58" s="202"/>
      <c r="D58" s="202"/>
      <c r="E58" s="202"/>
      <c r="F58" s="202"/>
      <c r="G58" s="202"/>
      <c r="H58" s="202"/>
      <c r="I58" s="203"/>
      <c r="J58" s="203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</row>
    <row r="59" spans="1:26" ht="15.75" customHeight="1">
      <c r="A59" s="202"/>
      <c r="B59" s="202"/>
      <c r="C59" s="202"/>
      <c r="D59" s="202"/>
      <c r="E59" s="202"/>
      <c r="F59" s="202"/>
      <c r="G59" s="202"/>
      <c r="H59" s="202"/>
      <c r="I59" s="203"/>
      <c r="J59" s="203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</row>
    <row r="60" spans="1:26" ht="15.75" customHeight="1">
      <c r="A60" s="202"/>
      <c r="B60" s="202"/>
      <c r="C60" s="202"/>
      <c r="D60" s="202"/>
      <c r="E60" s="202"/>
      <c r="F60" s="202"/>
      <c r="G60" s="202"/>
      <c r="H60" s="202"/>
      <c r="I60" s="203"/>
      <c r="J60" s="203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</row>
    <row r="61" spans="1:26" ht="15.75" customHeight="1">
      <c r="A61" s="202"/>
      <c r="B61" s="202"/>
      <c r="C61" s="202"/>
      <c r="D61" s="202"/>
      <c r="E61" s="202"/>
      <c r="F61" s="202"/>
      <c r="G61" s="202"/>
      <c r="H61" s="202"/>
      <c r="I61" s="203"/>
      <c r="J61" s="203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</row>
    <row r="62" spans="1:26" ht="15.75" customHeight="1">
      <c r="A62" s="202"/>
      <c r="B62" s="202"/>
      <c r="C62" s="202"/>
      <c r="D62" s="202"/>
      <c r="E62" s="202"/>
      <c r="F62" s="202"/>
      <c r="G62" s="202"/>
      <c r="H62" s="202"/>
      <c r="I62" s="203"/>
      <c r="J62" s="203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</row>
    <row r="63" spans="1:26" ht="15.75" customHeight="1">
      <c r="A63" s="202"/>
      <c r="B63" s="202"/>
      <c r="C63" s="202"/>
      <c r="D63" s="202"/>
      <c r="E63" s="202"/>
      <c r="F63" s="202"/>
      <c r="G63" s="202"/>
      <c r="H63" s="202"/>
      <c r="I63" s="203"/>
      <c r="J63" s="203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</row>
    <row r="64" spans="1:26" ht="15.75" customHeight="1">
      <c r="A64" s="202"/>
      <c r="B64" s="202"/>
      <c r="C64" s="202"/>
      <c r="D64" s="202"/>
      <c r="E64" s="202"/>
      <c r="F64" s="202"/>
      <c r="G64" s="202"/>
      <c r="H64" s="202"/>
      <c r="I64" s="203"/>
      <c r="J64" s="203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</row>
    <row r="65" spans="1:26" ht="15.75" customHeight="1">
      <c r="A65" s="202"/>
      <c r="B65" s="202"/>
      <c r="C65" s="202"/>
      <c r="D65" s="202"/>
      <c r="E65" s="202"/>
      <c r="F65" s="202"/>
      <c r="G65" s="202"/>
      <c r="H65" s="202"/>
      <c r="I65" s="203"/>
      <c r="J65" s="203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</row>
    <row r="66" spans="1:26" ht="15.75" customHeight="1">
      <c r="A66" s="202"/>
      <c r="B66" s="202"/>
      <c r="C66" s="202"/>
      <c r="D66" s="202"/>
      <c r="E66" s="202"/>
      <c r="F66" s="202"/>
      <c r="G66" s="202"/>
      <c r="H66" s="202"/>
      <c r="I66" s="203"/>
      <c r="J66" s="203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</row>
    <row r="67" spans="1:26" ht="15.75" customHeight="1">
      <c r="A67" s="202"/>
      <c r="B67" s="202"/>
      <c r="C67" s="202"/>
      <c r="D67" s="202"/>
      <c r="E67" s="202"/>
      <c r="F67" s="202"/>
      <c r="G67" s="202"/>
      <c r="H67" s="202"/>
      <c r="I67" s="203"/>
      <c r="J67" s="203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</row>
    <row r="68" spans="1:26" ht="15.75" customHeight="1">
      <c r="A68" s="202"/>
      <c r="B68" s="202"/>
      <c r="C68" s="202"/>
      <c r="D68" s="202"/>
      <c r="E68" s="202"/>
      <c r="F68" s="202"/>
      <c r="G68" s="202"/>
      <c r="H68" s="202"/>
      <c r="I68" s="203"/>
      <c r="J68" s="203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</row>
    <row r="69" spans="1:26" ht="15.75" customHeight="1">
      <c r="A69" s="202"/>
      <c r="B69" s="202"/>
      <c r="C69" s="202"/>
      <c r="D69" s="202"/>
      <c r="E69" s="202"/>
      <c r="F69" s="202"/>
      <c r="G69" s="202"/>
      <c r="H69" s="202"/>
      <c r="I69" s="203"/>
      <c r="J69" s="203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</row>
    <row r="70" spans="1:26" ht="15.75" customHeight="1">
      <c r="A70" s="202"/>
      <c r="B70" s="202"/>
      <c r="C70" s="202"/>
      <c r="D70" s="202"/>
      <c r="E70" s="202"/>
      <c r="F70" s="202"/>
      <c r="G70" s="202"/>
      <c r="H70" s="202"/>
      <c r="I70" s="203"/>
      <c r="J70" s="203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</row>
    <row r="71" spans="1:26" ht="15.75" customHeight="1">
      <c r="A71" s="202"/>
      <c r="B71" s="202"/>
      <c r="C71" s="202"/>
      <c r="D71" s="202"/>
      <c r="E71" s="202"/>
      <c r="F71" s="202"/>
      <c r="G71" s="202"/>
      <c r="H71" s="202"/>
      <c r="I71" s="203"/>
      <c r="J71" s="203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</row>
    <row r="72" spans="1:26" ht="15.75" customHeight="1">
      <c r="A72" s="202"/>
      <c r="B72" s="202"/>
      <c r="C72" s="202"/>
      <c r="D72" s="202"/>
      <c r="E72" s="202"/>
      <c r="F72" s="202"/>
      <c r="G72" s="202"/>
      <c r="H72" s="202"/>
      <c r="I72" s="203"/>
      <c r="J72" s="203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</row>
    <row r="73" spans="1:26" ht="15.75" customHeight="1">
      <c r="A73" s="202"/>
      <c r="B73" s="202"/>
      <c r="C73" s="202"/>
      <c r="D73" s="202"/>
      <c r="E73" s="202"/>
      <c r="F73" s="202"/>
      <c r="G73" s="202"/>
      <c r="H73" s="202"/>
      <c r="I73" s="203"/>
      <c r="J73" s="203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</row>
    <row r="74" spans="1:26" ht="15.75" customHeight="1">
      <c r="A74" s="202"/>
      <c r="B74" s="202"/>
      <c r="C74" s="202"/>
      <c r="D74" s="202"/>
      <c r="E74" s="202"/>
      <c r="F74" s="202"/>
      <c r="G74" s="202"/>
      <c r="H74" s="202"/>
      <c r="I74" s="203"/>
      <c r="J74" s="203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</row>
    <row r="75" spans="1:26" ht="15.75" customHeight="1">
      <c r="A75" s="202"/>
      <c r="B75" s="202"/>
      <c r="C75" s="202"/>
      <c r="D75" s="202"/>
      <c r="E75" s="202"/>
      <c r="F75" s="202"/>
      <c r="G75" s="202"/>
      <c r="H75" s="202"/>
      <c r="I75" s="203"/>
      <c r="J75" s="203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</row>
    <row r="76" spans="1:26" ht="15.75" customHeight="1">
      <c r="A76" s="202"/>
      <c r="B76" s="202"/>
      <c r="C76" s="202"/>
      <c r="D76" s="202"/>
      <c r="E76" s="202"/>
      <c r="F76" s="202"/>
      <c r="G76" s="202"/>
      <c r="H76" s="202"/>
      <c r="I76" s="203"/>
      <c r="J76" s="203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</row>
    <row r="77" spans="1:26" ht="15.75" customHeight="1">
      <c r="A77" s="202"/>
      <c r="B77" s="202"/>
      <c r="C77" s="202"/>
      <c r="D77" s="202"/>
      <c r="E77" s="202"/>
      <c r="F77" s="202"/>
      <c r="G77" s="202"/>
      <c r="H77" s="202"/>
      <c r="I77" s="203"/>
      <c r="J77" s="203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</row>
    <row r="78" spans="1:26" ht="15.75" customHeight="1">
      <c r="A78" s="202"/>
      <c r="B78" s="202"/>
      <c r="C78" s="202"/>
      <c r="D78" s="202"/>
      <c r="E78" s="202"/>
      <c r="F78" s="202"/>
      <c r="G78" s="202"/>
      <c r="H78" s="202"/>
      <c r="I78" s="203"/>
      <c r="J78" s="203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</row>
    <row r="79" spans="1:26" ht="15.75" customHeight="1">
      <c r="A79" s="202"/>
      <c r="B79" s="202"/>
      <c r="C79" s="202"/>
      <c r="D79" s="202"/>
      <c r="E79" s="202"/>
      <c r="F79" s="202"/>
      <c r="G79" s="202"/>
      <c r="H79" s="202"/>
      <c r="I79" s="203"/>
      <c r="J79" s="203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</row>
    <row r="80" spans="1:26" ht="15.75" customHeight="1">
      <c r="A80" s="202"/>
      <c r="B80" s="202"/>
      <c r="C80" s="202"/>
      <c r="D80" s="202"/>
      <c r="E80" s="202"/>
      <c r="F80" s="202"/>
      <c r="G80" s="202"/>
      <c r="H80" s="202"/>
      <c r="I80" s="203"/>
      <c r="J80" s="203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</row>
    <row r="81" spans="1:26" ht="15.75" customHeight="1">
      <c r="A81" s="202"/>
      <c r="B81" s="202"/>
      <c r="C81" s="202"/>
      <c r="D81" s="202"/>
      <c r="E81" s="202"/>
      <c r="F81" s="202"/>
      <c r="G81" s="202"/>
      <c r="H81" s="202"/>
      <c r="I81" s="203"/>
      <c r="J81" s="203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</row>
    <row r="82" spans="1:26" ht="15.75" customHeight="1">
      <c r="A82" s="202"/>
      <c r="B82" s="202"/>
      <c r="C82" s="202"/>
      <c r="D82" s="202"/>
      <c r="E82" s="202"/>
      <c r="F82" s="202"/>
      <c r="G82" s="202"/>
      <c r="H82" s="202"/>
      <c r="I82" s="203"/>
      <c r="J82" s="203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</row>
    <row r="83" spans="1:26" ht="15.75" customHeight="1">
      <c r="A83" s="202"/>
      <c r="B83" s="202"/>
      <c r="C83" s="202"/>
      <c r="D83" s="202"/>
      <c r="E83" s="202"/>
      <c r="F83" s="202"/>
      <c r="G83" s="202"/>
      <c r="H83" s="202"/>
      <c r="I83" s="203"/>
      <c r="J83" s="203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</row>
    <row r="84" spans="1:26" ht="15.75" customHeight="1">
      <c r="A84" s="202"/>
      <c r="B84" s="202"/>
      <c r="C84" s="202"/>
      <c r="D84" s="202"/>
      <c r="E84" s="202"/>
      <c r="F84" s="202"/>
      <c r="G84" s="202"/>
      <c r="H84" s="202"/>
      <c r="I84" s="203"/>
      <c r="J84" s="203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</row>
    <row r="85" spans="1:26" ht="15.75" customHeight="1">
      <c r="A85" s="202"/>
      <c r="B85" s="202"/>
      <c r="C85" s="202"/>
      <c r="D85" s="202"/>
      <c r="E85" s="202"/>
      <c r="F85" s="202"/>
      <c r="G85" s="202"/>
      <c r="H85" s="202"/>
      <c r="I85" s="203"/>
      <c r="J85" s="203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</row>
    <row r="86" spans="1:26" ht="15.75" customHeight="1">
      <c r="A86" s="202"/>
      <c r="B86" s="202"/>
      <c r="C86" s="202"/>
      <c r="D86" s="202"/>
      <c r="E86" s="202"/>
      <c r="F86" s="202"/>
      <c r="G86" s="202"/>
      <c r="H86" s="202"/>
      <c r="I86" s="203"/>
      <c r="J86" s="203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</row>
    <row r="87" spans="1:26" ht="15.75" customHeight="1">
      <c r="A87" s="202"/>
      <c r="B87" s="202"/>
      <c r="C87" s="202"/>
      <c r="D87" s="202"/>
      <c r="E87" s="202"/>
      <c r="F87" s="202"/>
      <c r="G87" s="202"/>
      <c r="H87" s="202"/>
      <c r="I87" s="203"/>
      <c r="J87" s="203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</row>
    <row r="88" spans="1:26" ht="15.75" customHeight="1">
      <c r="A88" s="202"/>
      <c r="B88" s="202"/>
      <c r="C88" s="202"/>
      <c r="D88" s="202"/>
      <c r="E88" s="202"/>
      <c r="F88" s="202"/>
      <c r="G88" s="202"/>
      <c r="H88" s="202"/>
      <c r="I88" s="203"/>
      <c r="J88" s="203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</row>
    <row r="89" spans="1:26" ht="15.75" customHeight="1">
      <c r="A89" s="202"/>
      <c r="B89" s="202"/>
      <c r="C89" s="202"/>
      <c r="D89" s="202"/>
      <c r="E89" s="202"/>
      <c r="F89" s="202"/>
      <c r="G89" s="202"/>
      <c r="H89" s="202"/>
      <c r="I89" s="203"/>
      <c r="J89" s="203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</row>
    <row r="90" spans="1:26" ht="15.75" customHeight="1">
      <c r="A90" s="202"/>
      <c r="B90" s="202"/>
      <c r="C90" s="202"/>
      <c r="D90" s="202"/>
      <c r="E90" s="202"/>
      <c r="F90" s="202"/>
      <c r="G90" s="202"/>
      <c r="H90" s="202"/>
      <c r="I90" s="203"/>
      <c r="J90" s="203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</row>
    <row r="91" spans="1:26" ht="15.75" customHeight="1">
      <c r="A91" s="202"/>
      <c r="B91" s="202"/>
      <c r="C91" s="202"/>
      <c r="D91" s="202"/>
      <c r="E91" s="202"/>
      <c r="F91" s="202"/>
      <c r="G91" s="202"/>
      <c r="H91" s="202"/>
      <c r="I91" s="203"/>
      <c r="J91" s="203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</row>
    <row r="92" spans="1:26" ht="15.75" customHeight="1">
      <c r="A92" s="202"/>
      <c r="B92" s="202"/>
      <c r="C92" s="202"/>
      <c r="D92" s="202"/>
      <c r="E92" s="202"/>
      <c r="F92" s="202"/>
      <c r="G92" s="202"/>
      <c r="H92" s="202"/>
      <c r="I92" s="203"/>
      <c r="J92" s="203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</row>
    <row r="93" spans="1:26" ht="15.75" customHeight="1">
      <c r="A93" s="202"/>
      <c r="B93" s="202"/>
      <c r="C93" s="202"/>
      <c r="D93" s="202"/>
      <c r="E93" s="202"/>
      <c r="F93" s="202"/>
      <c r="G93" s="202"/>
      <c r="H93" s="202"/>
      <c r="I93" s="203"/>
      <c r="J93" s="203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</row>
    <row r="94" spans="1:26" ht="15.75" customHeight="1">
      <c r="A94" s="202"/>
      <c r="B94" s="202"/>
      <c r="C94" s="202"/>
      <c r="D94" s="202"/>
      <c r="E94" s="202"/>
      <c r="F94" s="202"/>
      <c r="G94" s="202"/>
      <c r="H94" s="202"/>
      <c r="I94" s="203"/>
      <c r="J94" s="203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</row>
    <row r="95" spans="1:26" ht="15.75" customHeight="1">
      <c r="A95" s="202"/>
      <c r="B95" s="202"/>
      <c r="C95" s="202"/>
      <c r="D95" s="202"/>
      <c r="E95" s="202"/>
      <c r="F95" s="202"/>
      <c r="G95" s="202"/>
      <c r="H95" s="202"/>
      <c r="I95" s="203"/>
      <c r="J95" s="203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</row>
    <row r="96" spans="1:26" ht="15.75" customHeight="1">
      <c r="A96" s="202"/>
      <c r="B96" s="202"/>
      <c r="C96" s="202"/>
      <c r="D96" s="202"/>
      <c r="E96" s="202"/>
      <c r="F96" s="202"/>
      <c r="G96" s="202"/>
      <c r="H96" s="202"/>
      <c r="I96" s="203"/>
      <c r="J96" s="203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</row>
    <row r="97" spans="1:26" ht="15.75" customHeight="1">
      <c r="A97" s="202"/>
      <c r="B97" s="202"/>
      <c r="C97" s="202"/>
      <c r="D97" s="202"/>
      <c r="E97" s="202"/>
      <c r="F97" s="202"/>
      <c r="G97" s="202"/>
      <c r="H97" s="202"/>
      <c r="I97" s="203"/>
      <c r="J97" s="203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</row>
    <row r="98" spans="1:26" ht="15.75" customHeight="1">
      <c r="A98" s="202"/>
      <c r="B98" s="202"/>
      <c r="C98" s="202"/>
      <c r="D98" s="202"/>
      <c r="E98" s="202"/>
      <c r="F98" s="202"/>
      <c r="G98" s="202"/>
      <c r="H98" s="202"/>
      <c r="I98" s="203"/>
      <c r="J98" s="203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</row>
    <row r="99" spans="1:26" ht="15.75" customHeight="1">
      <c r="A99" s="202"/>
      <c r="B99" s="202"/>
      <c r="C99" s="202"/>
      <c r="D99" s="202"/>
      <c r="E99" s="202"/>
      <c r="F99" s="202"/>
      <c r="G99" s="202"/>
      <c r="H99" s="202"/>
      <c r="I99" s="203"/>
      <c r="J99" s="203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</row>
    <row r="100" spans="1:26" ht="15.75" customHeight="1">
      <c r="A100" s="202"/>
      <c r="B100" s="202"/>
      <c r="C100" s="202"/>
      <c r="D100" s="202"/>
      <c r="E100" s="202"/>
      <c r="F100" s="202"/>
      <c r="G100" s="202"/>
      <c r="H100" s="202"/>
      <c r="I100" s="203"/>
      <c r="J100" s="203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</row>
    <row r="101" spans="1:26" ht="15.75" customHeight="1">
      <c r="A101" s="202"/>
      <c r="B101" s="202"/>
      <c r="C101" s="202"/>
      <c r="D101" s="202"/>
      <c r="E101" s="202"/>
      <c r="F101" s="202"/>
      <c r="G101" s="202"/>
      <c r="H101" s="202"/>
      <c r="I101" s="203"/>
      <c r="J101" s="203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</row>
    <row r="102" spans="1:26" ht="15.75" customHeight="1">
      <c r="A102" s="202"/>
      <c r="B102" s="202"/>
      <c r="C102" s="202"/>
      <c r="D102" s="202"/>
      <c r="E102" s="202"/>
      <c r="F102" s="202"/>
      <c r="G102" s="202"/>
      <c r="H102" s="202"/>
      <c r="I102" s="203"/>
      <c r="J102" s="203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</row>
    <row r="103" spans="1:26" ht="15.75" customHeight="1">
      <c r="A103" s="202"/>
      <c r="B103" s="202"/>
      <c r="C103" s="202"/>
      <c r="D103" s="202"/>
      <c r="E103" s="202"/>
      <c r="F103" s="202"/>
      <c r="G103" s="202"/>
      <c r="H103" s="202"/>
      <c r="I103" s="203"/>
      <c r="J103" s="203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</row>
    <row r="104" spans="1:26" ht="15.75" customHeight="1">
      <c r="A104" s="202"/>
      <c r="B104" s="202"/>
      <c r="C104" s="202"/>
      <c r="D104" s="202"/>
      <c r="E104" s="202"/>
      <c r="F104" s="202"/>
      <c r="G104" s="202"/>
      <c r="H104" s="202"/>
      <c r="I104" s="203"/>
      <c r="J104" s="203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</row>
    <row r="105" spans="1:26" ht="15.75" customHeight="1">
      <c r="A105" s="202"/>
      <c r="B105" s="202"/>
      <c r="C105" s="202"/>
      <c r="D105" s="202"/>
      <c r="E105" s="202"/>
      <c r="F105" s="202"/>
      <c r="G105" s="202"/>
      <c r="H105" s="202"/>
      <c r="I105" s="203"/>
      <c r="J105" s="203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</row>
    <row r="106" spans="1:26" ht="15.75" customHeight="1">
      <c r="A106" s="202"/>
      <c r="B106" s="202"/>
      <c r="C106" s="202"/>
      <c r="D106" s="202"/>
      <c r="E106" s="202"/>
      <c r="F106" s="202"/>
      <c r="G106" s="202"/>
      <c r="H106" s="202"/>
      <c r="I106" s="203"/>
      <c r="J106" s="203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</row>
    <row r="107" spans="1:26" ht="15.75" customHeight="1">
      <c r="A107" s="202"/>
      <c r="B107" s="202"/>
      <c r="C107" s="202"/>
      <c r="D107" s="202"/>
      <c r="E107" s="202"/>
      <c r="F107" s="202"/>
      <c r="G107" s="202"/>
      <c r="H107" s="202"/>
      <c r="I107" s="203"/>
      <c r="J107" s="203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</row>
    <row r="108" spans="1:26" ht="15.75" customHeight="1">
      <c r="A108" s="202"/>
      <c r="B108" s="202"/>
      <c r="C108" s="202"/>
      <c r="D108" s="202"/>
      <c r="E108" s="202"/>
      <c r="F108" s="202"/>
      <c r="G108" s="202"/>
      <c r="H108" s="202"/>
      <c r="I108" s="203"/>
      <c r="J108" s="203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</row>
    <row r="109" spans="1:26" ht="15.75" customHeight="1">
      <c r="A109" s="202"/>
      <c r="B109" s="202"/>
      <c r="C109" s="202"/>
      <c r="D109" s="202"/>
      <c r="E109" s="202"/>
      <c r="F109" s="202"/>
      <c r="G109" s="202"/>
      <c r="H109" s="202"/>
      <c r="I109" s="203"/>
      <c r="J109" s="203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</row>
    <row r="110" spans="1:26" ht="15.75" customHeight="1">
      <c r="A110" s="202"/>
      <c r="B110" s="202"/>
      <c r="C110" s="202"/>
      <c r="D110" s="202"/>
      <c r="E110" s="202"/>
      <c r="F110" s="202"/>
      <c r="G110" s="202"/>
      <c r="H110" s="202"/>
      <c r="I110" s="203"/>
      <c r="J110" s="203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</row>
    <row r="111" spans="1:26" ht="15.75" customHeight="1">
      <c r="A111" s="202"/>
      <c r="B111" s="202"/>
      <c r="C111" s="202"/>
      <c r="D111" s="202"/>
      <c r="E111" s="202"/>
      <c r="F111" s="202"/>
      <c r="G111" s="202"/>
      <c r="H111" s="202"/>
      <c r="I111" s="203"/>
      <c r="J111" s="203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</row>
    <row r="112" spans="1:26" ht="15.75" customHeight="1">
      <c r="A112" s="202"/>
      <c r="B112" s="202"/>
      <c r="C112" s="202"/>
      <c r="D112" s="202"/>
      <c r="E112" s="202"/>
      <c r="F112" s="202"/>
      <c r="G112" s="202"/>
      <c r="H112" s="202"/>
      <c r="I112" s="203"/>
      <c r="J112" s="203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</row>
    <row r="113" spans="1:26" ht="15.75" customHeight="1">
      <c r="A113" s="202"/>
      <c r="B113" s="202"/>
      <c r="C113" s="202"/>
      <c r="D113" s="202"/>
      <c r="E113" s="202"/>
      <c r="F113" s="202"/>
      <c r="G113" s="202"/>
      <c r="H113" s="202"/>
      <c r="I113" s="203"/>
      <c r="J113" s="203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</row>
    <row r="114" spans="1:26" ht="15.75" customHeight="1">
      <c r="A114" s="202"/>
      <c r="B114" s="202"/>
      <c r="C114" s="202"/>
      <c r="D114" s="202"/>
      <c r="E114" s="202"/>
      <c r="F114" s="202"/>
      <c r="G114" s="202"/>
      <c r="H114" s="202"/>
      <c r="I114" s="203"/>
      <c r="J114" s="203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</row>
    <row r="115" spans="1:26" ht="15.75" customHeight="1">
      <c r="A115" s="202"/>
      <c r="B115" s="202"/>
      <c r="C115" s="202"/>
      <c r="D115" s="202"/>
      <c r="E115" s="202"/>
      <c r="F115" s="202"/>
      <c r="G115" s="202"/>
      <c r="H115" s="202"/>
      <c r="I115" s="203"/>
      <c r="J115" s="203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</row>
    <row r="116" spans="1:26" ht="15.75" customHeight="1">
      <c r="A116" s="202"/>
      <c r="B116" s="202"/>
      <c r="C116" s="202"/>
      <c r="D116" s="202"/>
      <c r="E116" s="202"/>
      <c r="F116" s="202"/>
      <c r="G116" s="202"/>
      <c r="H116" s="202"/>
      <c r="I116" s="203"/>
      <c r="J116" s="203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</row>
    <row r="117" spans="1:26" ht="15.75" customHeight="1">
      <c r="A117" s="202"/>
      <c r="B117" s="202"/>
      <c r="C117" s="202"/>
      <c r="D117" s="202"/>
      <c r="E117" s="202"/>
      <c r="F117" s="202"/>
      <c r="G117" s="202"/>
      <c r="H117" s="202"/>
      <c r="I117" s="203"/>
      <c r="J117" s="203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</row>
    <row r="118" spans="1:26" ht="15.75" customHeight="1">
      <c r="A118" s="202"/>
      <c r="B118" s="202"/>
      <c r="C118" s="202"/>
      <c r="D118" s="202"/>
      <c r="E118" s="202"/>
      <c r="F118" s="202"/>
      <c r="G118" s="202"/>
      <c r="H118" s="202"/>
      <c r="I118" s="203"/>
      <c r="J118" s="203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</row>
    <row r="119" spans="1:26" ht="15.75" customHeight="1">
      <c r="A119" s="202"/>
      <c r="B119" s="202"/>
      <c r="C119" s="202"/>
      <c r="D119" s="202"/>
      <c r="E119" s="202"/>
      <c r="F119" s="202"/>
      <c r="G119" s="202"/>
      <c r="H119" s="202"/>
      <c r="I119" s="203"/>
      <c r="J119" s="203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</row>
    <row r="120" spans="1:26" ht="15.75" customHeight="1">
      <c r="A120" s="202"/>
      <c r="B120" s="202"/>
      <c r="C120" s="202"/>
      <c r="D120" s="202"/>
      <c r="E120" s="202"/>
      <c r="F120" s="202"/>
      <c r="G120" s="202"/>
      <c r="H120" s="202"/>
      <c r="I120" s="203"/>
      <c r="J120" s="203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</row>
    <row r="121" spans="1:26" ht="15.75" customHeight="1">
      <c r="A121" s="202"/>
      <c r="B121" s="202"/>
      <c r="C121" s="202"/>
      <c r="D121" s="202"/>
      <c r="E121" s="202"/>
      <c r="F121" s="202"/>
      <c r="G121" s="202"/>
      <c r="H121" s="202"/>
      <c r="I121" s="203"/>
      <c r="J121" s="203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</row>
    <row r="122" spans="1:26" ht="15.75" customHeight="1">
      <c r="A122" s="202"/>
      <c r="B122" s="202"/>
      <c r="C122" s="202"/>
      <c r="D122" s="202"/>
      <c r="E122" s="202"/>
      <c r="F122" s="202"/>
      <c r="G122" s="202"/>
      <c r="H122" s="202"/>
      <c r="I122" s="203"/>
      <c r="J122" s="203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</row>
    <row r="123" spans="1:26" ht="15.75" customHeight="1">
      <c r="A123" s="202"/>
      <c r="B123" s="202"/>
      <c r="C123" s="202"/>
      <c r="D123" s="202"/>
      <c r="E123" s="202"/>
      <c r="F123" s="202"/>
      <c r="G123" s="202"/>
      <c r="H123" s="202"/>
      <c r="I123" s="203"/>
      <c r="J123" s="203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</row>
    <row r="124" spans="1:26" ht="15.75" customHeight="1">
      <c r="A124" s="202"/>
      <c r="B124" s="202"/>
      <c r="C124" s="202"/>
      <c r="D124" s="202"/>
      <c r="E124" s="202"/>
      <c r="F124" s="202"/>
      <c r="G124" s="202"/>
      <c r="H124" s="202"/>
      <c r="I124" s="203"/>
      <c r="J124" s="203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</row>
    <row r="125" spans="1:26" ht="15.75" customHeight="1">
      <c r="A125" s="202"/>
      <c r="B125" s="202"/>
      <c r="C125" s="202"/>
      <c r="D125" s="202"/>
      <c r="E125" s="202"/>
      <c r="F125" s="202"/>
      <c r="G125" s="202"/>
      <c r="H125" s="202"/>
      <c r="I125" s="203"/>
      <c r="J125" s="203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</row>
    <row r="126" spans="1:26" ht="15.75" customHeight="1">
      <c r="A126" s="202"/>
      <c r="B126" s="202"/>
      <c r="C126" s="202"/>
      <c r="D126" s="202"/>
      <c r="E126" s="202"/>
      <c r="F126" s="202"/>
      <c r="G126" s="202"/>
      <c r="H126" s="202"/>
      <c r="I126" s="203"/>
      <c r="J126" s="203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</row>
    <row r="127" spans="1:26" ht="15.75" customHeight="1">
      <c r="A127" s="202"/>
      <c r="B127" s="202"/>
      <c r="C127" s="202"/>
      <c r="D127" s="202"/>
      <c r="E127" s="202"/>
      <c r="F127" s="202"/>
      <c r="G127" s="202"/>
      <c r="H127" s="202"/>
      <c r="I127" s="203"/>
      <c r="J127" s="203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</row>
    <row r="128" spans="1:26" ht="15.75" customHeight="1">
      <c r="A128" s="202"/>
      <c r="B128" s="202"/>
      <c r="C128" s="202"/>
      <c r="D128" s="202"/>
      <c r="E128" s="202"/>
      <c r="F128" s="202"/>
      <c r="G128" s="202"/>
      <c r="H128" s="202"/>
      <c r="I128" s="203"/>
      <c r="J128" s="203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</row>
    <row r="129" spans="1:26" ht="15.75" customHeight="1">
      <c r="A129" s="202"/>
      <c r="B129" s="202"/>
      <c r="C129" s="202"/>
      <c r="D129" s="202"/>
      <c r="E129" s="202"/>
      <c r="F129" s="202"/>
      <c r="G129" s="202"/>
      <c r="H129" s="202"/>
      <c r="I129" s="203"/>
      <c r="J129" s="203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</row>
    <row r="130" spans="1:26" ht="15.75" customHeight="1">
      <c r="A130" s="202"/>
      <c r="B130" s="202"/>
      <c r="C130" s="202"/>
      <c r="D130" s="202"/>
      <c r="E130" s="202"/>
      <c r="F130" s="202"/>
      <c r="G130" s="202"/>
      <c r="H130" s="202"/>
      <c r="I130" s="203"/>
      <c r="J130" s="203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</row>
    <row r="131" spans="1:26" ht="15.75" customHeight="1">
      <c r="A131" s="202"/>
      <c r="B131" s="202"/>
      <c r="C131" s="202"/>
      <c r="D131" s="202"/>
      <c r="E131" s="202"/>
      <c r="F131" s="202"/>
      <c r="G131" s="202"/>
      <c r="H131" s="202"/>
      <c r="I131" s="203"/>
      <c r="J131" s="203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</row>
    <row r="132" spans="1:26" ht="15.75" customHeight="1">
      <c r="A132" s="202"/>
      <c r="B132" s="202"/>
      <c r="C132" s="202"/>
      <c r="D132" s="202"/>
      <c r="E132" s="202"/>
      <c r="F132" s="202"/>
      <c r="G132" s="202"/>
      <c r="H132" s="202"/>
      <c r="I132" s="203"/>
      <c r="J132" s="203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</row>
    <row r="133" spans="1:26" ht="15.75" customHeight="1">
      <c r="A133" s="202"/>
      <c r="B133" s="202"/>
      <c r="C133" s="202"/>
      <c r="D133" s="202"/>
      <c r="E133" s="202"/>
      <c r="F133" s="202"/>
      <c r="G133" s="202"/>
      <c r="H133" s="202"/>
      <c r="I133" s="203"/>
      <c r="J133" s="203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</row>
    <row r="134" spans="1:26" ht="15.75" customHeight="1">
      <c r="A134" s="202"/>
      <c r="B134" s="202"/>
      <c r="C134" s="202"/>
      <c r="D134" s="202"/>
      <c r="E134" s="202"/>
      <c r="F134" s="202"/>
      <c r="G134" s="202"/>
      <c r="H134" s="202"/>
      <c r="I134" s="203"/>
      <c r="J134" s="203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</row>
    <row r="135" spans="1:26" ht="15.75" customHeight="1">
      <c r="A135" s="202"/>
      <c r="B135" s="202"/>
      <c r="C135" s="202"/>
      <c r="D135" s="202"/>
      <c r="E135" s="202"/>
      <c r="F135" s="202"/>
      <c r="G135" s="202"/>
      <c r="H135" s="202"/>
      <c r="I135" s="203"/>
      <c r="J135" s="203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</row>
    <row r="136" spans="1:26" ht="15.75" customHeight="1">
      <c r="A136" s="202"/>
      <c r="B136" s="202"/>
      <c r="C136" s="202"/>
      <c r="D136" s="202"/>
      <c r="E136" s="202"/>
      <c r="F136" s="202"/>
      <c r="G136" s="202"/>
      <c r="H136" s="202"/>
      <c r="I136" s="203"/>
      <c r="J136" s="203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</row>
    <row r="137" spans="1:26" ht="15.75" customHeight="1">
      <c r="A137" s="202"/>
      <c r="B137" s="202"/>
      <c r="C137" s="202"/>
      <c r="D137" s="202"/>
      <c r="E137" s="202"/>
      <c r="F137" s="202"/>
      <c r="G137" s="202"/>
      <c r="H137" s="202"/>
      <c r="I137" s="203"/>
      <c r="J137" s="203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</row>
    <row r="138" spans="1:26" ht="15.75" customHeight="1">
      <c r="A138" s="202"/>
      <c r="B138" s="202"/>
      <c r="C138" s="202"/>
      <c r="D138" s="202"/>
      <c r="E138" s="202"/>
      <c r="F138" s="202"/>
      <c r="G138" s="202"/>
      <c r="H138" s="202"/>
      <c r="I138" s="203"/>
      <c r="J138" s="203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</row>
    <row r="139" spans="1:26" ht="15.75" customHeight="1">
      <c r="A139" s="202"/>
      <c r="B139" s="202"/>
      <c r="C139" s="202"/>
      <c r="D139" s="202"/>
      <c r="E139" s="202"/>
      <c r="F139" s="202"/>
      <c r="G139" s="202"/>
      <c r="H139" s="202"/>
      <c r="I139" s="203"/>
      <c r="J139" s="203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</row>
    <row r="140" spans="1:26" ht="15.75" customHeight="1">
      <c r="A140" s="202"/>
      <c r="B140" s="202"/>
      <c r="C140" s="202"/>
      <c r="D140" s="202"/>
      <c r="E140" s="202"/>
      <c r="F140" s="202"/>
      <c r="G140" s="202"/>
      <c r="H140" s="202"/>
      <c r="I140" s="203"/>
      <c r="J140" s="203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</row>
    <row r="141" spans="1:26" ht="15.75" customHeight="1">
      <c r="A141" s="202"/>
      <c r="B141" s="202"/>
      <c r="C141" s="202"/>
      <c r="D141" s="202"/>
      <c r="E141" s="202"/>
      <c r="F141" s="202"/>
      <c r="G141" s="202"/>
      <c r="H141" s="202"/>
      <c r="I141" s="203"/>
      <c r="J141" s="203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</row>
    <row r="142" spans="1:26" ht="15.75" customHeight="1">
      <c r="A142" s="202"/>
      <c r="B142" s="202"/>
      <c r="C142" s="202"/>
      <c r="D142" s="202"/>
      <c r="E142" s="202"/>
      <c r="F142" s="202"/>
      <c r="G142" s="202"/>
      <c r="H142" s="202"/>
      <c r="I142" s="203"/>
      <c r="J142" s="203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</row>
    <row r="143" spans="1:26" ht="15.75" customHeight="1">
      <c r="A143" s="202"/>
      <c r="B143" s="202"/>
      <c r="C143" s="202"/>
      <c r="D143" s="202"/>
      <c r="E143" s="202"/>
      <c r="F143" s="202"/>
      <c r="G143" s="202"/>
      <c r="H143" s="202"/>
      <c r="I143" s="203"/>
      <c r="J143" s="203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</row>
    <row r="144" spans="1:26" ht="15.75" customHeight="1">
      <c r="A144" s="202"/>
      <c r="B144" s="202"/>
      <c r="C144" s="202"/>
      <c r="D144" s="202"/>
      <c r="E144" s="202"/>
      <c r="F144" s="202"/>
      <c r="G144" s="202"/>
      <c r="H144" s="202"/>
      <c r="I144" s="203"/>
      <c r="J144" s="203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</row>
    <row r="145" spans="1:26" ht="15.75" customHeight="1">
      <c r="A145" s="202"/>
      <c r="B145" s="202"/>
      <c r="C145" s="202"/>
      <c r="D145" s="202"/>
      <c r="E145" s="202"/>
      <c r="F145" s="202"/>
      <c r="G145" s="202"/>
      <c r="H145" s="202"/>
      <c r="I145" s="203"/>
      <c r="J145" s="203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</row>
    <row r="146" spans="1:26" ht="15.75" customHeight="1">
      <c r="A146" s="202"/>
      <c r="B146" s="202"/>
      <c r="C146" s="202"/>
      <c r="D146" s="202"/>
      <c r="E146" s="202"/>
      <c r="F146" s="202"/>
      <c r="G146" s="202"/>
      <c r="H146" s="202"/>
      <c r="I146" s="203"/>
      <c r="J146" s="203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</row>
    <row r="147" spans="1:26" ht="15.75" customHeight="1">
      <c r="A147" s="202"/>
      <c r="B147" s="202"/>
      <c r="C147" s="202"/>
      <c r="D147" s="202"/>
      <c r="E147" s="202"/>
      <c r="F147" s="202"/>
      <c r="G147" s="202"/>
      <c r="H147" s="202"/>
      <c r="I147" s="203"/>
      <c r="J147" s="203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</row>
    <row r="148" spans="1:26" ht="15.75" customHeight="1">
      <c r="A148" s="202"/>
      <c r="B148" s="202"/>
      <c r="C148" s="202"/>
      <c r="D148" s="202"/>
      <c r="E148" s="202"/>
      <c r="F148" s="202"/>
      <c r="G148" s="202"/>
      <c r="H148" s="202"/>
      <c r="I148" s="203"/>
      <c r="J148" s="203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</row>
    <row r="149" spans="1:26" ht="15.75" customHeight="1">
      <c r="A149" s="202"/>
      <c r="B149" s="202"/>
      <c r="C149" s="202"/>
      <c r="D149" s="202"/>
      <c r="E149" s="202"/>
      <c r="F149" s="202"/>
      <c r="G149" s="202"/>
      <c r="H149" s="202"/>
      <c r="I149" s="203"/>
      <c r="J149" s="203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</row>
    <row r="150" spans="1:26" ht="15.75" customHeight="1">
      <c r="A150" s="202"/>
      <c r="B150" s="202"/>
      <c r="C150" s="202"/>
      <c r="D150" s="202"/>
      <c r="E150" s="202"/>
      <c r="F150" s="202"/>
      <c r="G150" s="202"/>
      <c r="H150" s="202"/>
      <c r="I150" s="203"/>
      <c r="J150" s="203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</row>
    <row r="151" spans="1:26" ht="15.75" customHeight="1">
      <c r="A151" s="202"/>
      <c r="B151" s="202"/>
      <c r="C151" s="202"/>
      <c r="D151" s="202"/>
      <c r="E151" s="202"/>
      <c r="F151" s="202"/>
      <c r="G151" s="202"/>
      <c r="H151" s="202"/>
      <c r="I151" s="203"/>
      <c r="J151" s="203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</row>
    <row r="152" spans="1:26" ht="15.75" customHeight="1">
      <c r="A152" s="202"/>
      <c r="B152" s="202"/>
      <c r="C152" s="202"/>
      <c r="D152" s="202"/>
      <c r="E152" s="202"/>
      <c r="F152" s="202"/>
      <c r="G152" s="202"/>
      <c r="H152" s="202"/>
      <c r="I152" s="203"/>
      <c r="J152" s="203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</row>
    <row r="153" spans="1:26" ht="15.75" customHeight="1">
      <c r="A153" s="202"/>
      <c r="B153" s="202"/>
      <c r="C153" s="202"/>
      <c r="D153" s="202"/>
      <c r="E153" s="202"/>
      <c r="F153" s="202"/>
      <c r="G153" s="202"/>
      <c r="H153" s="202"/>
      <c r="I153" s="203"/>
      <c r="J153" s="203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</row>
    <row r="154" spans="1:26" ht="15.75" customHeight="1">
      <c r="A154" s="202"/>
      <c r="B154" s="202"/>
      <c r="C154" s="202"/>
      <c r="D154" s="202"/>
      <c r="E154" s="202"/>
      <c r="F154" s="202"/>
      <c r="G154" s="202"/>
      <c r="H154" s="202"/>
      <c r="I154" s="203"/>
      <c r="J154" s="203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</row>
    <row r="155" spans="1:26" ht="15.75" customHeight="1">
      <c r="A155" s="202"/>
      <c r="B155" s="202"/>
      <c r="C155" s="202"/>
      <c r="D155" s="202"/>
      <c r="E155" s="202"/>
      <c r="F155" s="202"/>
      <c r="G155" s="202"/>
      <c r="H155" s="202"/>
      <c r="I155" s="203"/>
      <c r="J155" s="203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</row>
    <row r="156" spans="1:26" ht="15.75" customHeight="1">
      <c r="A156" s="202"/>
      <c r="B156" s="202"/>
      <c r="C156" s="202"/>
      <c r="D156" s="202"/>
      <c r="E156" s="202"/>
      <c r="F156" s="202"/>
      <c r="G156" s="202"/>
      <c r="H156" s="202"/>
      <c r="I156" s="203"/>
      <c r="J156" s="203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</row>
    <row r="157" spans="1:26" ht="15.75" customHeight="1">
      <c r="A157" s="202"/>
      <c r="B157" s="202"/>
      <c r="C157" s="202"/>
      <c r="D157" s="202"/>
      <c r="E157" s="202"/>
      <c r="F157" s="202"/>
      <c r="G157" s="202"/>
      <c r="H157" s="202"/>
      <c r="I157" s="203"/>
      <c r="J157" s="203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</row>
    <row r="158" spans="1:26" ht="15.75" customHeight="1">
      <c r="A158" s="202"/>
      <c r="B158" s="202"/>
      <c r="C158" s="202"/>
      <c r="D158" s="202"/>
      <c r="E158" s="202"/>
      <c r="F158" s="202"/>
      <c r="G158" s="202"/>
      <c r="H158" s="202"/>
      <c r="I158" s="203"/>
      <c r="J158" s="203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</row>
    <row r="159" spans="1:26" ht="15.75" customHeight="1">
      <c r="A159" s="202"/>
      <c r="B159" s="202"/>
      <c r="C159" s="202"/>
      <c r="D159" s="202"/>
      <c r="E159" s="202"/>
      <c r="F159" s="202"/>
      <c r="G159" s="202"/>
      <c r="H159" s="202"/>
      <c r="I159" s="203"/>
      <c r="J159" s="203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</row>
    <row r="160" spans="1:26" ht="15.75" customHeight="1">
      <c r="A160" s="202"/>
      <c r="B160" s="202"/>
      <c r="C160" s="202"/>
      <c r="D160" s="202"/>
      <c r="E160" s="202"/>
      <c r="F160" s="202"/>
      <c r="G160" s="202"/>
      <c r="H160" s="202"/>
      <c r="I160" s="203"/>
      <c r="J160" s="203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</row>
    <row r="161" spans="1:26" ht="15.75" customHeight="1">
      <c r="A161" s="202"/>
      <c r="B161" s="202"/>
      <c r="C161" s="202"/>
      <c r="D161" s="202"/>
      <c r="E161" s="202"/>
      <c r="F161" s="202"/>
      <c r="G161" s="202"/>
      <c r="H161" s="202"/>
      <c r="I161" s="203"/>
      <c r="J161" s="203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</row>
    <row r="162" spans="1:26" ht="15.75" customHeight="1">
      <c r="A162" s="202"/>
      <c r="B162" s="202"/>
      <c r="C162" s="202"/>
      <c r="D162" s="202"/>
      <c r="E162" s="202"/>
      <c r="F162" s="202"/>
      <c r="G162" s="202"/>
      <c r="H162" s="202"/>
      <c r="I162" s="203"/>
      <c r="J162" s="203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</row>
    <row r="163" spans="1:26" ht="15.75" customHeight="1">
      <c r="A163" s="202"/>
      <c r="B163" s="202"/>
      <c r="C163" s="202"/>
      <c r="D163" s="202"/>
      <c r="E163" s="202"/>
      <c r="F163" s="202"/>
      <c r="G163" s="202"/>
      <c r="H163" s="202"/>
      <c r="I163" s="203"/>
      <c r="J163" s="203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</row>
    <row r="164" spans="1:26" ht="15.75" customHeight="1">
      <c r="A164" s="202"/>
      <c r="B164" s="202"/>
      <c r="C164" s="202"/>
      <c r="D164" s="202"/>
      <c r="E164" s="202"/>
      <c r="F164" s="202"/>
      <c r="G164" s="202"/>
      <c r="H164" s="202"/>
      <c r="I164" s="203"/>
      <c r="J164" s="203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</row>
    <row r="165" spans="1:26" ht="15.75" customHeight="1">
      <c r="A165" s="202"/>
      <c r="B165" s="202"/>
      <c r="C165" s="202"/>
      <c r="D165" s="202"/>
      <c r="E165" s="202"/>
      <c r="F165" s="202"/>
      <c r="G165" s="202"/>
      <c r="H165" s="202"/>
      <c r="I165" s="203"/>
      <c r="J165" s="203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</row>
    <row r="166" spans="1:26" ht="15.75" customHeight="1">
      <c r="A166" s="202"/>
      <c r="B166" s="202"/>
      <c r="C166" s="202"/>
      <c r="D166" s="202"/>
      <c r="E166" s="202"/>
      <c r="F166" s="202"/>
      <c r="G166" s="202"/>
      <c r="H166" s="202"/>
      <c r="I166" s="203"/>
      <c r="J166" s="203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</row>
    <row r="167" spans="1:26" ht="15.75" customHeight="1">
      <c r="A167" s="202"/>
      <c r="B167" s="202"/>
      <c r="C167" s="202"/>
      <c r="D167" s="202"/>
      <c r="E167" s="202"/>
      <c r="F167" s="202"/>
      <c r="G167" s="202"/>
      <c r="H167" s="202"/>
      <c r="I167" s="203"/>
      <c r="J167" s="203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</row>
    <row r="168" spans="1:26" ht="15.75" customHeight="1">
      <c r="A168" s="202"/>
      <c r="B168" s="202"/>
      <c r="C168" s="202"/>
      <c r="D168" s="202"/>
      <c r="E168" s="202"/>
      <c r="F168" s="202"/>
      <c r="G168" s="202"/>
      <c r="H168" s="202"/>
      <c r="I168" s="203"/>
      <c r="J168" s="203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</row>
    <row r="169" spans="1:26" ht="15.75" customHeight="1">
      <c r="A169" s="202"/>
      <c r="B169" s="202"/>
      <c r="C169" s="202"/>
      <c r="D169" s="202"/>
      <c r="E169" s="202"/>
      <c r="F169" s="202"/>
      <c r="G169" s="202"/>
      <c r="H169" s="202"/>
      <c r="I169" s="203"/>
      <c r="J169" s="203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</row>
    <row r="170" spans="1:26" ht="15.75" customHeight="1">
      <c r="A170" s="202"/>
      <c r="B170" s="202"/>
      <c r="C170" s="202"/>
      <c r="D170" s="202"/>
      <c r="E170" s="202"/>
      <c r="F170" s="202"/>
      <c r="G170" s="202"/>
      <c r="H170" s="202"/>
      <c r="I170" s="203"/>
      <c r="J170" s="203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</row>
    <row r="171" spans="1:26" ht="15.75" customHeight="1">
      <c r="A171" s="202"/>
      <c r="B171" s="202"/>
      <c r="C171" s="202"/>
      <c r="D171" s="202"/>
      <c r="E171" s="202"/>
      <c r="F171" s="202"/>
      <c r="G171" s="202"/>
      <c r="H171" s="202"/>
      <c r="I171" s="203"/>
      <c r="J171" s="203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</row>
    <row r="172" spans="1:26" ht="15.75" customHeight="1">
      <c r="A172" s="202"/>
      <c r="B172" s="202"/>
      <c r="C172" s="202"/>
      <c r="D172" s="202"/>
      <c r="E172" s="202"/>
      <c r="F172" s="202"/>
      <c r="G172" s="202"/>
      <c r="H172" s="202"/>
      <c r="I172" s="203"/>
      <c r="J172" s="203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</row>
    <row r="173" spans="1:26" ht="15.75" customHeight="1">
      <c r="A173" s="202"/>
      <c r="B173" s="202"/>
      <c r="C173" s="202"/>
      <c r="D173" s="202"/>
      <c r="E173" s="202"/>
      <c r="F173" s="202"/>
      <c r="G173" s="202"/>
      <c r="H173" s="202"/>
      <c r="I173" s="203"/>
      <c r="J173" s="203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</row>
    <row r="174" spans="1:26" ht="15.75" customHeight="1">
      <c r="A174" s="202"/>
      <c r="B174" s="202"/>
      <c r="C174" s="202"/>
      <c r="D174" s="202"/>
      <c r="E174" s="202"/>
      <c r="F174" s="202"/>
      <c r="G174" s="202"/>
      <c r="H174" s="202"/>
      <c r="I174" s="203"/>
      <c r="J174" s="203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</row>
    <row r="175" spans="1:26" ht="15.75" customHeight="1">
      <c r="A175" s="202"/>
      <c r="B175" s="202"/>
      <c r="C175" s="202"/>
      <c r="D175" s="202"/>
      <c r="E175" s="202"/>
      <c r="F175" s="202"/>
      <c r="G175" s="202"/>
      <c r="H175" s="202"/>
      <c r="I175" s="203"/>
      <c r="J175" s="203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</row>
    <row r="176" spans="1:26" ht="15.75" customHeight="1">
      <c r="A176" s="202"/>
      <c r="B176" s="202"/>
      <c r="C176" s="202"/>
      <c r="D176" s="202"/>
      <c r="E176" s="202"/>
      <c r="F176" s="202"/>
      <c r="G176" s="202"/>
      <c r="H176" s="202"/>
      <c r="I176" s="203"/>
      <c r="J176" s="203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</row>
    <row r="177" spans="1:26" ht="15.75" customHeight="1">
      <c r="A177" s="202"/>
      <c r="B177" s="202"/>
      <c r="C177" s="202"/>
      <c r="D177" s="202"/>
      <c r="E177" s="202"/>
      <c r="F177" s="202"/>
      <c r="G177" s="202"/>
      <c r="H177" s="202"/>
      <c r="I177" s="203"/>
      <c r="J177" s="203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</row>
    <row r="178" spans="1:26" ht="15.75" customHeight="1">
      <c r="A178" s="202"/>
      <c r="B178" s="202"/>
      <c r="C178" s="202"/>
      <c r="D178" s="202"/>
      <c r="E178" s="202"/>
      <c r="F178" s="202"/>
      <c r="G178" s="202"/>
      <c r="H178" s="202"/>
      <c r="I178" s="203"/>
      <c r="J178" s="203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</row>
    <row r="179" spans="1:26" ht="15.75" customHeight="1">
      <c r="A179" s="202"/>
      <c r="B179" s="202"/>
      <c r="C179" s="202"/>
      <c r="D179" s="202"/>
      <c r="E179" s="202"/>
      <c r="F179" s="202"/>
      <c r="G179" s="202"/>
      <c r="H179" s="202"/>
      <c r="I179" s="203"/>
      <c r="J179" s="203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</row>
    <row r="180" spans="1:26" ht="15.75" customHeight="1">
      <c r="A180" s="202"/>
      <c r="B180" s="202"/>
      <c r="C180" s="202"/>
      <c r="D180" s="202"/>
      <c r="E180" s="202"/>
      <c r="F180" s="202"/>
      <c r="G180" s="202"/>
      <c r="H180" s="202"/>
      <c r="I180" s="203"/>
      <c r="J180" s="203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</row>
    <row r="181" spans="1:26" ht="15.75" customHeight="1">
      <c r="A181" s="202"/>
      <c r="B181" s="202"/>
      <c r="C181" s="202"/>
      <c r="D181" s="202"/>
      <c r="E181" s="202"/>
      <c r="F181" s="202"/>
      <c r="G181" s="202"/>
      <c r="H181" s="202"/>
      <c r="I181" s="203"/>
      <c r="J181" s="203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</row>
    <row r="182" spans="1:26" ht="15.75" customHeight="1">
      <c r="A182" s="202"/>
      <c r="B182" s="202"/>
      <c r="C182" s="202"/>
      <c r="D182" s="202"/>
      <c r="E182" s="202"/>
      <c r="F182" s="202"/>
      <c r="G182" s="202"/>
      <c r="H182" s="202"/>
      <c r="I182" s="203"/>
      <c r="J182" s="203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</row>
    <row r="183" spans="1:26" ht="15.75" customHeight="1">
      <c r="A183" s="202"/>
      <c r="B183" s="202"/>
      <c r="C183" s="202"/>
      <c r="D183" s="202"/>
      <c r="E183" s="202"/>
      <c r="F183" s="202"/>
      <c r="G183" s="202"/>
      <c r="H183" s="202"/>
      <c r="I183" s="203"/>
      <c r="J183" s="203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</row>
    <row r="184" spans="1:26" ht="15.75" customHeight="1">
      <c r="A184" s="202"/>
      <c r="B184" s="202"/>
      <c r="C184" s="202"/>
      <c r="D184" s="202"/>
      <c r="E184" s="202"/>
      <c r="F184" s="202"/>
      <c r="G184" s="202"/>
      <c r="H184" s="202"/>
      <c r="I184" s="203"/>
      <c r="J184" s="203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</row>
    <row r="185" spans="1:26" ht="15.75" customHeight="1">
      <c r="A185" s="202"/>
      <c r="B185" s="202"/>
      <c r="C185" s="202"/>
      <c r="D185" s="202"/>
      <c r="E185" s="202"/>
      <c r="F185" s="202"/>
      <c r="G185" s="202"/>
      <c r="H185" s="202"/>
      <c r="I185" s="203"/>
      <c r="J185" s="203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</row>
    <row r="186" spans="1:26" ht="15.75" customHeight="1">
      <c r="A186" s="202"/>
      <c r="B186" s="202"/>
      <c r="C186" s="202"/>
      <c r="D186" s="202"/>
      <c r="E186" s="202"/>
      <c r="F186" s="202"/>
      <c r="G186" s="202"/>
      <c r="H186" s="202"/>
      <c r="I186" s="203"/>
      <c r="J186" s="203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</row>
    <row r="187" spans="1:26" ht="15.75" customHeight="1">
      <c r="A187" s="202"/>
      <c r="B187" s="202"/>
      <c r="C187" s="202"/>
      <c r="D187" s="202"/>
      <c r="E187" s="202"/>
      <c r="F187" s="202"/>
      <c r="G187" s="202"/>
      <c r="H187" s="202"/>
      <c r="I187" s="203"/>
      <c r="J187" s="203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</row>
    <row r="188" spans="1:26" ht="15.75" customHeight="1">
      <c r="A188" s="202"/>
      <c r="B188" s="202"/>
      <c r="C188" s="202"/>
      <c r="D188" s="202"/>
      <c r="E188" s="202"/>
      <c r="F188" s="202"/>
      <c r="G188" s="202"/>
      <c r="H188" s="202"/>
      <c r="I188" s="203"/>
      <c r="J188" s="203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</row>
    <row r="189" spans="1:26" ht="15.75" customHeight="1">
      <c r="A189" s="202"/>
      <c r="B189" s="202"/>
      <c r="C189" s="202"/>
      <c r="D189" s="202"/>
      <c r="E189" s="202"/>
      <c r="F189" s="202"/>
      <c r="G189" s="202"/>
      <c r="H189" s="202"/>
      <c r="I189" s="203"/>
      <c r="J189" s="203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</row>
    <row r="190" spans="1:26" ht="15.75" customHeight="1">
      <c r="A190" s="202"/>
      <c r="B190" s="202"/>
      <c r="C190" s="202"/>
      <c r="D190" s="202"/>
      <c r="E190" s="202"/>
      <c r="F190" s="202"/>
      <c r="G190" s="202"/>
      <c r="H190" s="202"/>
      <c r="I190" s="203"/>
      <c r="J190" s="203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</row>
    <row r="191" spans="1:26" ht="15.75" customHeight="1">
      <c r="A191" s="202"/>
      <c r="B191" s="202"/>
      <c r="C191" s="202"/>
      <c r="D191" s="202"/>
      <c r="E191" s="202"/>
      <c r="F191" s="202"/>
      <c r="G191" s="202"/>
      <c r="H191" s="202"/>
      <c r="I191" s="203"/>
      <c r="J191" s="203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</row>
    <row r="192" spans="1:26" ht="15.75" customHeight="1">
      <c r="A192" s="202"/>
      <c r="B192" s="202"/>
      <c r="C192" s="202"/>
      <c r="D192" s="202"/>
      <c r="E192" s="202"/>
      <c r="F192" s="202"/>
      <c r="G192" s="202"/>
      <c r="H192" s="202"/>
      <c r="I192" s="203"/>
      <c r="J192" s="203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</row>
    <row r="193" spans="1:26" ht="15.75" customHeight="1">
      <c r="A193" s="202"/>
      <c r="B193" s="202"/>
      <c r="C193" s="202"/>
      <c r="D193" s="202"/>
      <c r="E193" s="202"/>
      <c r="F193" s="202"/>
      <c r="G193" s="202"/>
      <c r="H193" s="202"/>
      <c r="I193" s="203"/>
      <c r="J193" s="203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</row>
    <row r="194" spans="1:26" ht="15.75" customHeight="1">
      <c r="A194" s="202"/>
      <c r="B194" s="202"/>
      <c r="C194" s="202"/>
      <c r="D194" s="202"/>
      <c r="E194" s="202"/>
      <c r="F194" s="202"/>
      <c r="G194" s="202"/>
      <c r="H194" s="202"/>
      <c r="I194" s="203"/>
      <c r="J194" s="203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</row>
    <row r="195" spans="1:26" ht="15.75" customHeight="1">
      <c r="A195" s="202"/>
      <c r="B195" s="202"/>
      <c r="C195" s="202"/>
      <c r="D195" s="202"/>
      <c r="E195" s="202"/>
      <c r="F195" s="202"/>
      <c r="G195" s="202"/>
      <c r="H195" s="202"/>
      <c r="I195" s="203"/>
      <c r="J195" s="203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</row>
    <row r="196" spans="1:26" ht="15.75" customHeight="1">
      <c r="A196" s="202"/>
      <c r="B196" s="202"/>
      <c r="C196" s="202"/>
      <c r="D196" s="202"/>
      <c r="E196" s="202"/>
      <c r="F196" s="202"/>
      <c r="G196" s="202"/>
      <c r="H196" s="202"/>
      <c r="I196" s="203"/>
      <c r="J196" s="203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</row>
    <row r="197" spans="1:26" ht="15.75" customHeight="1">
      <c r="A197" s="202"/>
      <c r="B197" s="202"/>
      <c r="C197" s="202"/>
      <c r="D197" s="202"/>
      <c r="E197" s="202"/>
      <c r="F197" s="202"/>
      <c r="G197" s="202"/>
      <c r="H197" s="202"/>
      <c r="I197" s="203"/>
      <c r="J197" s="203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</row>
    <row r="198" spans="1:26" ht="15.75" customHeight="1">
      <c r="A198" s="202"/>
      <c r="B198" s="202"/>
      <c r="C198" s="202"/>
      <c r="D198" s="202"/>
      <c r="E198" s="202"/>
      <c r="F198" s="202"/>
      <c r="G198" s="202"/>
      <c r="H198" s="202"/>
      <c r="I198" s="203"/>
      <c r="J198" s="203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</row>
    <row r="199" spans="1:26" ht="15.75" customHeight="1">
      <c r="A199" s="202"/>
      <c r="B199" s="202"/>
      <c r="C199" s="202"/>
      <c r="D199" s="202"/>
      <c r="E199" s="202"/>
      <c r="F199" s="202"/>
      <c r="G199" s="202"/>
      <c r="H199" s="202"/>
      <c r="I199" s="203"/>
      <c r="J199" s="203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</row>
    <row r="200" spans="1:26" ht="15.75" customHeight="1">
      <c r="A200" s="202"/>
      <c r="B200" s="202"/>
      <c r="C200" s="202"/>
      <c r="D200" s="202"/>
      <c r="E200" s="202"/>
      <c r="F200" s="202"/>
      <c r="G200" s="202"/>
      <c r="H200" s="202"/>
      <c r="I200" s="203"/>
      <c r="J200" s="203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</row>
    <row r="201" spans="1:26" ht="15.75" customHeight="1">
      <c r="A201" s="202"/>
      <c r="B201" s="202"/>
      <c r="C201" s="202"/>
      <c r="D201" s="202"/>
      <c r="E201" s="202"/>
      <c r="F201" s="202"/>
      <c r="G201" s="202"/>
      <c r="H201" s="202"/>
      <c r="I201" s="203"/>
      <c r="J201" s="203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</row>
    <row r="202" spans="1:26" ht="15.75" customHeight="1">
      <c r="A202" s="202"/>
      <c r="B202" s="202"/>
      <c r="C202" s="202"/>
      <c r="D202" s="202"/>
      <c r="E202" s="202"/>
      <c r="F202" s="202"/>
      <c r="G202" s="202"/>
      <c r="H202" s="202"/>
      <c r="I202" s="203"/>
      <c r="J202" s="203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</row>
    <row r="203" spans="1:26" ht="15.75" customHeight="1">
      <c r="A203" s="202"/>
      <c r="B203" s="202"/>
      <c r="C203" s="202"/>
      <c r="D203" s="202"/>
      <c r="E203" s="202"/>
      <c r="F203" s="202"/>
      <c r="G203" s="202"/>
      <c r="H203" s="202"/>
      <c r="I203" s="203"/>
      <c r="J203" s="203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</row>
    <row r="204" spans="1:26" ht="15.75" customHeight="1">
      <c r="A204" s="202"/>
      <c r="B204" s="202"/>
      <c r="C204" s="202"/>
      <c r="D204" s="202"/>
      <c r="E204" s="202"/>
      <c r="F204" s="202"/>
      <c r="G204" s="202"/>
      <c r="H204" s="202"/>
      <c r="I204" s="203"/>
      <c r="J204" s="203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</row>
    <row r="205" spans="1:26" ht="15.75" customHeight="1">
      <c r="A205" s="202"/>
      <c r="B205" s="202"/>
      <c r="C205" s="202"/>
      <c r="D205" s="202"/>
      <c r="E205" s="202"/>
      <c r="F205" s="202"/>
      <c r="G205" s="202"/>
      <c r="H205" s="202"/>
      <c r="I205" s="203"/>
      <c r="J205" s="203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</row>
    <row r="206" spans="1:26" ht="15.75" customHeight="1">
      <c r="A206" s="202"/>
      <c r="B206" s="202"/>
      <c r="C206" s="202"/>
      <c r="D206" s="202"/>
      <c r="E206" s="202"/>
      <c r="F206" s="202"/>
      <c r="G206" s="202"/>
      <c r="H206" s="202"/>
      <c r="I206" s="203"/>
      <c r="J206" s="203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</row>
    <row r="207" spans="1:26" ht="15.75" customHeight="1">
      <c r="A207" s="202"/>
      <c r="B207" s="202"/>
      <c r="C207" s="202"/>
      <c r="D207" s="202"/>
      <c r="E207" s="202"/>
      <c r="F207" s="202"/>
      <c r="G207" s="202"/>
      <c r="H207" s="202"/>
      <c r="I207" s="203"/>
      <c r="J207" s="203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</row>
    <row r="208" spans="1:26" ht="15.75" customHeight="1">
      <c r="A208" s="202"/>
      <c r="B208" s="202"/>
      <c r="C208" s="202"/>
      <c r="D208" s="202"/>
      <c r="E208" s="202"/>
      <c r="F208" s="202"/>
      <c r="G208" s="202"/>
      <c r="H208" s="202"/>
      <c r="I208" s="203"/>
      <c r="J208" s="203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</row>
    <row r="209" spans="1:26" ht="15.75" customHeight="1">
      <c r="A209" s="202"/>
      <c r="B209" s="202"/>
      <c r="C209" s="202"/>
      <c r="D209" s="202"/>
      <c r="E209" s="202"/>
      <c r="F209" s="202"/>
      <c r="G209" s="202"/>
      <c r="H209" s="202"/>
      <c r="I209" s="203"/>
      <c r="J209" s="203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</row>
    <row r="210" spans="1:26" ht="15.75" customHeight="1">
      <c r="A210" s="202"/>
      <c r="B210" s="202"/>
      <c r="C210" s="202"/>
      <c r="D210" s="202"/>
      <c r="E210" s="202"/>
      <c r="F210" s="202"/>
      <c r="G210" s="202"/>
      <c r="H210" s="202"/>
      <c r="I210" s="203"/>
      <c r="J210" s="203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</row>
    <row r="211" spans="1:26" ht="15.75" customHeight="1">
      <c r="A211" s="202"/>
      <c r="B211" s="202"/>
      <c r="C211" s="202"/>
      <c r="D211" s="202"/>
      <c r="E211" s="202"/>
      <c r="F211" s="202"/>
      <c r="G211" s="202"/>
      <c r="H211" s="202"/>
      <c r="I211" s="203"/>
      <c r="J211" s="203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</row>
    <row r="212" spans="1:26" ht="15.75" customHeight="1">
      <c r="A212" s="202"/>
      <c r="B212" s="202"/>
      <c r="C212" s="202"/>
      <c r="D212" s="202"/>
      <c r="E212" s="202"/>
      <c r="F212" s="202"/>
      <c r="G212" s="202"/>
      <c r="H212" s="202"/>
      <c r="I212" s="203"/>
      <c r="J212" s="203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</row>
    <row r="213" spans="1:26" ht="15.75" customHeight="1">
      <c r="A213" s="202"/>
      <c r="B213" s="202"/>
      <c r="C213" s="202"/>
      <c r="D213" s="202"/>
      <c r="E213" s="202"/>
      <c r="F213" s="202"/>
      <c r="G213" s="202"/>
      <c r="H213" s="202"/>
      <c r="I213" s="203"/>
      <c r="J213" s="203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</row>
    <row r="214" spans="1:26" ht="15.75" customHeight="1">
      <c r="A214" s="202"/>
      <c r="B214" s="202"/>
      <c r="C214" s="202"/>
      <c r="D214" s="202"/>
      <c r="E214" s="202"/>
      <c r="F214" s="202"/>
      <c r="G214" s="202"/>
      <c r="H214" s="202"/>
      <c r="I214" s="203"/>
      <c r="J214" s="203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</row>
    <row r="215" spans="1:26" ht="15.75" customHeight="1">
      <c r="A215" s="202"/>
      <c r="B215" s="202"/>
      <c r="C215" s="202"/>
      <c r="D215" s="202"/>
      <c r="E215" s="202"/>
      <c r="F215" s="202"/>
      <c r="G215" s="202"/>
      <c r="H215" s="202"/>
      <c r="I215" s="203"/>
      <c r="J215" s="203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</row>
    <row r="216" spans="1:26" ht="15.75" customHeight="1">
      <c r="A216" s="202"/>
      <c r="B216" s="202"/>
      <c r="C216" s="202"/>
      <c r="D216" s="202"/>
      <c r="E216" s="202"/>
      <c r="F216" s="202"/>
      <c r="G216" s="202"/>
      <c r="H216" s="202"/>
      <c r="I216" s="203"/>
      <c r="J216" s="203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</row>
    <row r="217" spans="1:26" ht="15.75" customHeight="1">
      <c r="A217" s="202"/>
      <c r="B217" s="202"/>
      <c r="C217" s="202"/>
      <c r="D217" s="202"/>
      <c r="E217" s="202"/>
      <c r="F217" s="202"/>
      <c r="G217" s="202"/>
      <c r="H217" s="202"/>
      <c r="I217" s="203"/>
      <c r="J217" s="203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</row>
    <row r="218" spans="1:26" ht="15.75" customHeight="1">
      <c r="A218" s="202"/>
      <c r="B218" s="202"/>
      <c r="C218" s="202"/>
      <c r="D218" s="202"/>
      <c r="E218" s="202"/>
      <c r="F218" s="202"/>
      <c r="G218" s="202"/>
      <c r="H218" s="202"/>
      <c r="I218" s="203"/>
      <c r="J218" s="203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</row>
    <row r="219" spans="1:26" ht="15.75" customHeight="1">
      <c r="A219" s="202"/>
      <c r="B219" s="202"/>
      <c r="C219" s="202"/>
      <c r="D219" s="202"/>
      <c r="E219" s="202"/>
      <c r="F219" s="202"/>
      <c r="G219" s="202"/>
      <c r="H219" s="202"/>
      <c r="I219" s="203"/>
      <c r="J219" s="203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</row>
    <row r="220" spans="1:26" ht="15.75" customHeight="1">
      <c r="A220" s="202"/>
      <c r="B220" s="202"/>
      <c r="C220" s="202"/>
      <c r="D220" s="202"/>
      <c r="E220" s="202"/>
      <c r="F220" s="202"/>
      <c r="G220" s="202"/>
      <c r="H220" s="202"/>
      <c r="I220" s="203"/>
      <c r="J220" s="203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00"/>
  <sheetViews>
    <sheetView workbookViewId="0"/>
  </sheetViews>
  <sheetFormatPr defaultColWidth="14.42578125" defaultRowHeight="15" customHeight="1"/>
  <cols>
    <col min="1" max="1" width="8.85546875" customWidth="1"/>
    <col min="2" max="2" width="26.85546875" customWidth="1"/>
    <col min="3" max="3" width="64" customWidth="1"/>
    <col min="4" max="6" width="8.85546875" customWidth="1"/>
  </cols>
  <sheetData>
    <row r="2" spans="2:3">
      <c r="B2" s="207" t="s">
        <v>163</v>
      </c>
      <c r="C2" s="208" t="s">
        <v>164</v>
      </c>
    </row>
    <row r="3" spans="2:3" ht="30">
      <c r="B3" s="209" t="s">
        <v>165</v>
      </c>
      <c r="C3" s="208" t="s">
        <v>166</v>
      </c>
    </row>
    <row r="4" spans="2:3" ht="30">
      <c r="B4" s="209" t="s">
        <v>167</v>
      </c>
      <c r="C4" s="208" t="s">
        <v>168</v>
      </c>
    </row>
    <row r="5" spans="2:3" ht="30">
      <c r="B5" s="209" t="s">
        <v>16</v>
      </c>
      <c r="C5" s="208" t="s">
        <v>169</v>
      </c>
    </row>
    <row r="6" spans="2:3">
      <c r="B6" s="209" t="s">
        <v>170</v>
      </c>
      <c r="C6" s="208" t="s">
        <v>171</v>
      </c>
    </row>
    <row r="7" spans="2:3">
      <c r="B7" s="209" t="s">
        <v>172</v>
      </c>
      <c r="C7" s="208" t="s">
        <v>173</v>
      </c>
    </row>
    <row r="8" spans="2:3" ht="45">
      <c r="B8" s="209" t="s">
        <v>174</v>
      </c>
      <c r="C8" s="208" t="s">
        <v>175</v>
      </c>
    </row>
    <row r="9" spans="2:3" ht="30">
      <c r="B9" s="209" t="s">
        <v>176</v>
      </c>
      <c r="C9" s="208" t="s">
        <v>177</v>
      </c>
    </row>
    <row r="10" spans="2:3" ht="30">
      <c r="B10" s="253" t="s">
        <v>178</v>
      </c>
      <c r="C10" s="208" t="s">
        <v>179</v>
      </c>
    </row>
    <row r="11" spans="2:3" ht="30">
      <c r="B11" s="254"/>
      <c r="C11" s="208" t="s">
        <v>180</v>
      </c>
    </row>
    <row r="12" spans="2:3">
      <c r="B12" s="210" t="s">
        <v>181</v>
      </c>
      <c r="C12" s="182" t="s">
        <v>182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/>
  </sheetViews>
  <sheetFormatPr defaultColWidth="14.42578125" defaultRowHeight="15" customHeight="1"/>
  <cols>
    <col min="1" max="6" width="14.42578125" customWidth="1"/>
  </cols>
  <sheetData>
    <row r="1" spans="1:8">
      <c r="A1" s="204" t="s">
        <v>117</v>
      </c>
      <c r="B1" s="204" t="s">
        <v>31</v>
      </c>
      <c r="C1" s="204" t="s">
        <v>143</v>
      </c>
      <c r="D1" s="204" t="s">
        <v>144</v>
      </c>
      <c r="E1" s="204" t="s">
        <v>145</v>
      </c>
      <c r="F1" s="204" t="s">
        <v>146</v>
      </c>
      <c r="G1" s="204" t="s">
        <v>147</v>
      </c>
      <c r="H1" s="204" t="s">
        <v>148</v>
      </c>
    </row>
    <row r="2" spans="1:8">
      <c r="A2" s="211" t="s">
        <v>120</v>
      </c>
      <c r="B2" s="182" t="s">
        <v>51</v>
      </c>
    </row>
    <row r="3" spans="1:8">
      <c r="A3" s="211" t="s">
        <v>120</v>
      </c>
      <c r="B3" s="182" t="s">
        <v>54</v>
      </c>
    </row>
    <row r="4" spans="1:8">
      <c r="A4" s="211" t="s">
        <v>120</v>
      </c>
      <c r="B4" s="182" t="s">
        <v>56</v>
      </c>
    </row>
    <row r="5" spans="1:8">
      <c r="A5" s="211" t="s">
        <v>120</v>
      </c>
      <c r="B5" s="182" t="s">
        <v>58</v>
      </c>
    </row>
    <row r="6" spans="1:8">
      <c r="A6" s="211" t="s">
        <v>120</v>
      </c>
      <c r="B6" s="182" t="s">
        <v>59</v>
      </c>
    </row>
    <row r="7" spans="1:8">
      <c r="A7" s="211" t="s">
        <v>120</v>
      </c>
      <c r="B7" s="182" t="s">
        <v>61</v>
      </c>
    </row>
    <row r="8" spans="1:8">
      <c r="A8" s="211" t="s">
        <v>120</v>
      </c>
      <c r="B8" s="182" t="s">
        <v>62</v>
      </c>
    </row>
    <row r="9" spans="1:8">
      <c r="A9" s="211" t="s">
        <v>120</v>
      </c>
      <c r="B9" s="182" t="s">
        <v>63</v>
      </c>
    </row>
    <row r="10" spans="1:8">
      <c r="A10" s="211" t="s">
        <v>120</v>
      </c>
      <c r="B10" s="182" t="s">
        <v>64</v>
      </c>
    </row>
    <row r="11" spans="1:8">
      <c r="A11" s="211" t="s">
        <v>120</v>
      </c>
      <c r="B11" s="182" t="s">
        <v>65</v>
      </c>
    </row>
    <row r="12" spans="1:8">
      <c r="A12" s="211" t="s">
        <v>135</v>
      </c>
      <c r="B12" s="182" t="s">
        <v>93</v>
      </c>
    </row>
    <row r="13" spans="1:8">
      <c r="A13" s="211" t="s">
        <v>135</v>
      </c>
      <c r="B13" s="182" t="s">
        <v>94</v>
      </c>
    </row>
    <row r="14" spans="1:8">
      <c r="A14" s="211" t="s">
        <v>135</v>
      </c>
      <c r="B14" s="182" t="s">
        <v>95</v>
      </c>
    </row>
    <row r="15" spans="1:8">
      <c r="A15" s="211" t="s">
        <v>135</v>
      </c>
      <c r="B15" s="182" t="s">
        <v>96</v>
      </c>
    </row>
    <row r="16" spans="1:8">
      <c r="A16" s="211" t="s">
        <v>135</v>
      </c>
      <c r="B16" s="182" t="s">
        <v>97</v>
      </c>
    </row>
    <row r="17" spans="1:2">
      <c r="A17" s="211" t="s">
        <v>135</v>
      </c>
      <c r="B17" s="182" t="s">
        <v>98</v>
      </c>
    </row>
    <row r="18" spans="1:2">
      <c r="A18" s="211" t="s">
        <v>135</v>
      </c>
      <c r="B18" s="182" t="s">
        <v>108</v>
      </c>
    </row>
    <row r="19" spans="1:2">
      <c r="A19" s="211" t="s">
        <v>136</v>
      </c>
      <c r="B19" s="182" t="s">
        <v>104</v>
      </c>
    </row>
    <row r="20" spans="1:2">
      <c r="A20" s="211" t="s">
        <v>136</v>
      </c>
      <c r="B20" s="182" t="s">
        <v>105</v>
      </c>
    </row>
    <row r="21" spans="1:2" ht="15.75" customHeight="1">
      <c r="A21" s="211" t="s">
        <v>136</v>
      </c>
      <c r="B21" s="182" t="s">
        <v>106</v>
      </c>
    </row>
    <row r="22" spans="1:2" ht="15.75" customHeight="1">
      <c r="A22" s="211" t="s">
        <v>136</v>
      </c>
      <c r="B22" s="182" t="s">
        <v>107</v>
      </c>
    </row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</vt:lpstr>
      <vt:lpstr>RAJASTHAN</vt:lpstr>
      <vt:lpstr>MADHYA PRADESH</vt:lpstr>
      <vt:lpstr>UTTAR PRADESH</vt:lpstr>
      <vt:lpstr> WEEK - Backup</vt:lpstr>
      <vt:lpstr>WEEKLY</vt:lpstr>
      <vt:lpstr>YTD - Target</vt:lpstr>
      <vt:lpstr>TRENDS</vt:lpstr>
      <vt:lpstr>DEFINITIONS</vt:lpstr>
      <vt:lpstr>Trend2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2022-01-19T12:21:32Z</dcterms:created>
  <dcterms:modified xsi:type="dcterms:W3CDTF">2022-01-28T06:27:50Z</dcterms:modified>
</cp:coreProperties>
</file>